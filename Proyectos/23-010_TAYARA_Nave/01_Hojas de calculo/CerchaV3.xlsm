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Proyectos\23-010_TAYARA_Nave\01_Hojas de calculo\"/>
    </mc:Choice>
  </mc:AlternateContent>
  <xr:revisionPtr revIDLastSave="0" documentId="13_ncr:1_{0973D06C-DDB4-4A08-87B5-347F8B27F2F3}" xr6:coauthVersionLast="45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 Inf" sheetId="22" r:id="rId1"/>
    <sheet name="C Sup" sheetId="10" r:id="rId2"/>
    <sheet name="Diagonales" sheetId="13" r:id="rId3"/>
    <sheet name="Montante" sheetId="24" r:id="rId4"/>
    <sheet name="Angulo" sheetId="21" r:id="rId5"/>
    <sheet name="PERFILES C TERNIUM" sheetId="4" r:id="rId6"/>
  </sheets>
  <functionGroups builtInGroupCount="19"/>
  <definedNames>
    <definedName name="DatosExternos_1" localSheetId="4" hidden="1">Angulo!$C$2:$T$33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3" l="1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3" i="13"/>
  <c r="K9" i="13" l="1"/>
  <c r="K8" i="13"/>
  <c r="K20" i="13" s="1"/>
  <c r="N4" i="13"/>
  <c r="N3" i="13"/>
  <c r="N2" i="13"/>
  <c r="N15" i="13"/>
  <c r="N13" i="13"/>
  <c r="K19" i="13" s="1"/>
  <c r="Q20" i="13" l="1"/>
  <c r="K25" i="13"/>
  <c r="N25" i="13" s="1"/>
  <c r="K26" i="13"/>
  <c r="N26" i="13" s="1"/>
  <c r="Q21" i="13"/>
  <c r="Q22" i="13" s="1"/>
  <c r="B31" i="24"/>
  <c r="D30" i="24"/>
  <c r="F36" i="24" s="1"/>
  <c r="B30" i="24"/>
  <c r="D29" i="24"/>
  <c r="B29" i="24"/>
  <c r="D28" i="24"/>
  <c r="B28" i="24"/>
  <c r="D25" i="24"/>
  <c r="B25" i="24"/>
  <c r="D24" i="24"/>
  <c r="B24" i="24"/>
  <c r="F34" i="24" s="1"/>
  <c r="D23" i="24"/>
  <c r="E128" i="24" s="1"/>
  <c r="B23" i="24"/>
  <c r="C33" i="24" s="1"/>
  <c r="B55" i="24" s="1"/>
  <c r="C55" i="24" s="1"/>
  <c r="H19" i="24"/>
  <c r="H18" i="24"/>
  <c r="B59" i="24" s="1"/>
  <c r="H17" i="24"/>
  <c r="E64" i="24" s="1"/>
  <c r="N28" i="13" l="1"/>
  <c r="Q26" i="13"/>
  <c r="T26" i="13" s="1"/>
  <c r="Q25" i="13"/>
  <c r="T25" i="13" s="1"/>
  <c r="F33" i="24"/>
  <c r="F35" i="24"/>
  <c r="C34" i="24"/>
  <c r="F37" i="24"/>
  <c r="J42" i="24" s="1"/>
  <c r="C35" i="24"/>
  <c r="B31" i="22"/>
  <c r="D30" i="22"/>
  <c r="B30" i="22"/>
  <c r="D29" i="22"/>
  <c r="B29" i="22"/>
  <c r="D28" i="22"/>
  <c r="B28" i="22"/>
  <c r="D25" i="22"/>
  <c r="B25" i="22"/>
  <c r="D24" i="22"/>
  <c r="B24" i="22"/>
  <c r="D23" i="22"/>
  <c r="B23" i="22"/>
  <c r="H19" i="22"/>
  <c r="H18" i="22"/>
  <c r="H17" i="22"/>
  <c r="E64" i="22" s="1"/>
  <c r="K3" i="13"/>
  <c r="K2" i="13"/>
  <c r="E26" i="13" a="1"/>
  <c r="E6" i="13" a="1"/>
  <c r="E24" i="13" a="1"/>
  <c r="E5" i="13" a="1"/>
  <c r="E7" i="13" a="1"/>
  <c r="E15" i="13" a="1"/>
  <c r="E10" i="13" a="1"/>
  <c r="E17" i="13" a="1"/>
  <c r="E23" i="13" a="1"/>
  <c r="E14" i="13" a="1"/>
  <c r="E8" i="13" a="1"/>
  <c r="E22" i="13" a="1"/>
  <c r="E9" i="13" a="1"/>
  <c r="E3" i="13" a="1"/>
  <c r="E18" i="13" a="1"/>
  <c r="E12" i="13" a="1"/>
  <c r="E25" i="13" a="1"/>
  <c r="E19" i="13" a="1"/>
  <c r="E11" i="13" a="1"/>
  <c r="E13" i="13" a="1"/>
  <c r="E21" i="13" a="1"/>
  <c r="E20" i="13" a="1"/>
  <c r="E16" i="13" a="1"/>
  <c r="E4" i="13" a="1"/>
  <c r="T28" i="13" l="1"/>
  <c r="F35" i="22"/>
  <c r="B59" i="22"/>
  <c r="F34" i="22"/>
  <c r="F36" i="22"/>
  <c r="F33" i="22"/>
  <c r="K43" i="22" s="1"/>
  <c r="C35" i="22"/>
  <c r="K43" i="24"/>
  <c r="K44" i="24"/>
  <c r="J43" i="24"/>
  <c r="L43" i="24" s="1"/>
  <c r="B44" i="24" s="1"/>
  <c r="J41" i="24"/>
  <c r="C50" i="24"/>
  <c r="D50" i="24" s="1"/>
  <c r="J115" i="24"/>
  <c r="J114" i="24"/>
  <c r="D112" i="24"/>
  <c r="J116" i="24"/>
  <c r="J117" i="24" s="1"/>
  <c r="C51" i="24"/>
  <c r="D51" i="24" s="1"/>
  <c r="N116" i="24"/>
  <c r="E95" i="24"/>
  <c r="N120" i="24"/>
  <c r="J40" i="24"/>
  <c r="B43" i="24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B30" i="10"/>
  <c r="D29" i="10"/>
  <c r="B29" i="10"/>
  <c r="D28" i="10"/>
  <c r="B28" i="10"/>
  <c r="D25" i="10"/>
  <c r="B25" i="10"/>
  <c r="D24" i="10"/>
  <c r="B24" i="10"/>
  <c r="D23" i="10"/>
  <c r="B23" i="10"/>
  <c r="H19" i="10"/>
  <c r="H18" i="10"/>
  <c r="H17" i="10"/>
  <c r="F36" i="10" l="1"/>
  <c r="B59" i="10"/>
  <c r="F34" i="10"/>
  <c r="C33" i="10"/>
  <c r="B55" i="10" s="1"/>
  <c r="C55" i="10" s="1"/>
  <c r="J41" i="22"/>
  <c r="J43" i="22"/>
  <c r="J40" i="22"/>
  <c r="B41" i="24"/>
  <c r="B42" i="24" s="1"/>
  <c r="K40" i="24"/>
  <c r="O122" i="24"/>
  <c r="O121" i="24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F33" i="10"/>
  <c r="F35" i="10"/>
  <c r="C34" i="10"/>
  <c r="F37" i="10"/>
  <c r="J42" i="10" s="1"/>
  <c r="C35" i="10"/>
  <c r="N116" i="10" s="1"/>
  <c r="E128" i="10" l="1"/>
  <c r="B41" i="22"/>
  <c r="B42" i="22" s="1"/>
  <c r="E67" i="22" s="1"/>
  <c r="E70" i="22" s="1"/>
  <c r="E67" i="24"/>
  <c r="E70" i="24" s="1"/>
  <c r="O122" i="22"/>
  <c r="O121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3" i="22" l="1"/>
  <c r="E76" i="22" s="1"/>
  <c r="E81" i="22" s="1"/>
  <c r="B83" i="22" s="1"/>
  <c r="E73" i="24"/>
  <c r="E76" i="24" s="1"/>
  <c r="E81" i="24" s="1"/>
  <c r="B83" i="24" s="1"/>
  <c r="L43" i="10"/>
  <c r="B44" i="10" s="1"/>
  <c r="O122" i="10"/>
  <c r="O121" i="10"/>
  <c r="B41" i="10"/>
  <c r="B42" i="10" s="1"/>
  <c r="K40" i="10"/>
  <c r="E85" i="24" l="1"/>
  <c r="C83" i="24"/>
  <c r="E85" i="22"/>
  <c r="C83" i="22"/>
  <c r="E67" i="10"/>
  <c r="E70" i="10" s="1"/>
  <c r="B91" i="24" l="1"/>
  <c r="E99" i="24" s="1"/>
  <c r="B108" i="24"/>
  <c r="B124" i="24"/>
  <c r="E132" i="24" s="1"/>
  <c r="B124" i="22"/>
  <c r="E132" i="22" s="1"/>
  <c r="B91" i="22"/>
  <c r="E99" i="22" s="1"/>
  <c r="B108" i="22"/>
  <c r="E73" i="10"/>
  <c r="E76" i="10" s="1"/>
  <c r="E81" i="10" s="1"/>
  <c r="B83" i="10" s="1"/>
  <c r="D135" i="24" l="1"/>
  <c r="L134" i="24"/>
  <c r="D110" i="24"/>
  <c r="D102" i="24"/>
  <c r="L101" i="24"/>
  <c r="D102" i="22"/>
  <c r="L101" i="22"/>
  <c r="D135" i="22"/>
  <c r="L134" i="22"/>
  <c r="D110" i="22"/>
  <c r="E85" i="10"/>
  <c r="C83" i="10"/>
  <c r="F112" i="24" l="1"/>
  <c r="P114" i="24"/>
  <c r="N114" i="24"/>
  <c r="N119" i="24"/>
  <c r="F102" i="24"/>
  <c r="E102" i="24"/>
  <c r="E135" i="24"/>
  <c r="F135" i="24"/>
  <c r="E102" i="22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4" l="1"/>
  <c r="N117" i="24" s="1"/>
  <c r="L113" i="24"/>
  <c r="O114" i="24"/>
  <c r="D118" i="24"/>
  <c r="D119" i="24"/>
  <c r="D120" i="24"/>
  <c r="D117" i="24"/>
  <c r="E112" i="24"/>
  <c r="E115" i="24"/>
  <c r="D115" i="24"/>
  <c r="D114" i="24"/>
  <c r="N115" i="22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4" l="1"/>
  <c r="L117" i="24"/>
  <c r="N122" i="24"/>
  <c r="N123" i="24" s="1"/>
  <c r="N124" i="24" s="1"/>
  <c r="N125" i="24" s="1"/>
  <c r="N121" i="22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4" l="1"/>
  <c r="D116" i="24" s="1"/>
  <c r="A137" i="24" s="1"/>
  <c r="N126" i="24"/>
  <c r="L114" i="24" s="1"/>
  <c r="M126" i="24"/>
  <c r="O126" i="24" s="1"/>
  <c r="F116" i="24"/>
  <c r="L118" i="24"/>
  <c r="E120" i="24" s="1"/>
  <c r="E119" i="24"/>
  <c r="K114" i="22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4" l="1"/>
  <c r="E117" i="24" s="1"/>
  <c r="L116" i="24"/>
  <c r="E118" i="24" s="1"/>
  <c r="E116" i="24"/>
  <c r="E139" i="24" s="1"/>
  <c r="E143" i="24" s="1"/>
  <c r="L115" i="22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<sst xmlns="http://schemas.openxmlformats.org/spreadsheetml/2006/main" count="647" uniqueCount="280">
  <si>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</si>
  <si>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</si>
  <si>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</si>
  <si>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</si>
  <si>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</si>
  <si>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</si>
  <si>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</si>
  <si>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</si>
  <si>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</si>
  <si>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</si>
  <si>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</si>
  <si>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</si>
  <si>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</si>
  <si>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</si>
  <si>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</si>
  <si>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</si>
  <si>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</si>
  <si>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</si>
  <si>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</si>
  <si>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</si>
  <si>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</si>
  <si>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</si>
  <si>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</si>
  <si>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</si>
  <si>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</si>
  <si>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</si>
  <si>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</si>
  <si>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</si>
  <si>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</si>
  <si>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</si>
  <si>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</si>
  <si>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</si>
  <si>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</si>
  <si>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</si>
  <si>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</si>
  <si>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</si>
  <si>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</si>
  <si>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</si>
  <si>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</si>
  <si>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</si>
  <si>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</si>
  <si>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</si>
  <si>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</si>
  <si>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</si>
  <si>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</si>
  <si>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</si>
  <si>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</si>
  <si>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</si>
  <si>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</si>
  <si>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</si>
  <si>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</si>
  <si>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</si>
  <si>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</si>
  <si>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</si>
  <si>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</si>
  <si>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</si>
  <si>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</si>
  <si>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</si>
  <si>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</si>
  <si>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</si>
  <si>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</si>
  <si>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</si>
  <si>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</si>
  <si>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</si>
  <si>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</si>
  <si>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</si>
  <si>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</si>
  <si>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</si>
  <si>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</si>
  <si>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</si>
  <si>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</si>
  <si>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</si>
  <si>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</si>
  <si>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</si>
  <si>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</si>
  <si>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</si>
  <si>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</si>
  <si>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</si>
  <si>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</si>
  <si>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</si>
  <si>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</si>
  <si>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</si>
  <si>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</si>
  <si>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</si>
  <si>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</si>
  <si>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</si>
  <si>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</si>
  <si>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</si>
  <si>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</si>
  <si>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</si>
  <si>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</si>
  <si>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</si>
  <si>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</si>
  <si>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</si>
  <si>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</si>
  <si>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</si>
  <si>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</si>
  <si>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</si>
  <si>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</si>
  <si>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</si>
  <si>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</si>
  <si>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</si>
  <si>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</si>
  <si>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</si>
  <si>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</si>
  <si>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</si>
  <si>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</si>
  <si>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</si>
  <si>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</si>
  <si>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</si>
  <si>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</si>
  <si>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</si>
  <si>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</si>
  <si>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</si>
  <si>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</si>
  <si>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</si>
  <si>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</si>
  <si>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</si>
  <si>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</si>
  <si>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</si>
  <si>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</si>
  <si>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</si>
  <si>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</si>
  <si>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</si>
  <si>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</si>
  <si>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</si>
  <si>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</si>
  <si>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</si>
  <si>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</si>
  <si>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</si>
  <si>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</si>
  <si>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</si>
  <si>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</si>
  <si>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</si>
  <si>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</si>
  <si>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</si>
  <si>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</si>
  <si>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</si>
  <si>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</si>
  <si>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</si>
  <si>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</si>
  <si>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</si>
  <si>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</si>
  <si>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</si>
  <si>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</si>
  <si>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</si>
  <si>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</si>
  <si>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</si>
  <si>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</si>
  <si>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</si>
  <si>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</si>
  <si>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</si>
  <si>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</si>
  <si>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</si>
  <si>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</si>
  <si>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</si>
  <si>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</si>
  <si>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</si>
  <si>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</si>
  <si>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</si>
  <si>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</si>
  <si>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</si>
  <si>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</si>
  <si>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</si>
  <si>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</si>
  <si>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</si>
  <si>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</si>
  <si>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</si>
  <si>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</si>
  <si>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</si>
  <si>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</si>
  <si>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</si>
  <si>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</si>
  <si>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</si>
  <si>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</si>
  <si>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</si>
  <si>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</si>
  <si>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</si>
  <si>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</si>
  <si>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</si>
  <si>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</si>
  <si>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</si>
  <si>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</si>
  <si>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</si>
  <si>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</si>
  <si>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</si>
  <si>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</si>
  <si>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</si>
  <si>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</si>
  <si>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</si>
  <si>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</si>
  <si>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</si>
  <si>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</si>
  <si>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</si>
  <si>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</si>
  <si>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</si>
  <si>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</si>
  <si>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</si>
  <si>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</si>
  <si>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</si>
  <si>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</si>
  <si>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</si>
  <si>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</si>
  <si>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</si>
  <si>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</si>
  <si>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</si>
  <si>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</si>
  <si>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</si>
  <si>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</si>
  <si>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</si>
  <si>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</si>
  <si>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</si>
  <si>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</si>
  <si>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</si>
  <si>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</si>
  <si>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</si>
  <si>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</si>
  <si>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</si>
  <si>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</si>
  <si>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</si>
  <si>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</si>
  <si>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</si>
  <si>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</si>
  <si>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</si>
  <si>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</si>
  <si>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</si>
  <si>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</si>
  <si>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</si>
  <si>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</si>
  <si>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</si>
  <si>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</si>
  <si>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</si>
  <si>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</si>
  <si>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</si>
  <si>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</si>
  <si>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</si>
  <si>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</si>
  <si>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</si>
  <si>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</si>
  <si>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</si>
  <si>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</si>
  <si>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</si>
  <si>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</si>
  <si>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</si>
  <si>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</si>
  <si>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</si>
  <si>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</si>
  <si>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</si>
  <si>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Arriostramiento c/3m</t>
  </si>
  <si>
    <t>ELU2</t>
  </si>
  <si>
    <t>Rendimiento</t>
  </si>
  <si>
    <t>Soldadura</t>
  </si>
  <si>
    <t>Tu</t>
  </si>
  <si>
    <t>Pu</t>
  </si>
  <si>
    <t>kN</t>
  </si>
  <si>
    <t>dmin</t>
  </si>
  <si>
    <t>dmax</t>
  </si>
  <si>
    <t>dadop</t>
  </si>
  <si>
    <t>Fexx</t>
  </si>
  <si>
    <t>Mpa</t>
  </si>
  <si>
    <t>eg</t>
  </si>
  <si>
    <t>Fw</t>
  </si>
  <si>
    <t>phi</t>
  </si>
  <si>
    <t>Ld</t>
  </si>
  <si>
    <t>Rd</t>
  </si>
  <si>
    <t>esp</t>
  </si>
  <si>
    <t>ey=ex</t>
  </si>
  <si>
    <t>Balanceo</t>
  </si>
  <si>
    <t>R1</t>
  </si>
  <si>
    <t>R2</t>
  </si>
  <si>
    <t>Ld1</t>
  </si>
  <si>
    <t>Ld2</t>
  </si>
  <si>
    <t>Cordon frontal</t>
  </si>
  <si>
    <t>Rdf</t>
  </si>
  <si>
    <t>Ldf</t>
  </si>
  <si>
    <t>Tuneto</t>
  </si>
  <si>
    <t>Cord Sold</t>
  </si>
  <si>
    <t>Simplemente apoyado</t>
  </si>
  <si>
    <t>Sin Montante</t>
  </si>
  <si>
    <t>Con Montante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</si>
</sst>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9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9" fillId="0" borderId="0" xfId="0" applyFont="1" applyFill="1"/>
    <xf numFmtId="0" fontId="0" fillId="2" borderId="0" xfId="0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left" vertical="center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171" fontId="9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64" fontId="8" fillId="3" borderId="0" xfId="0" applyNumberFormat="1" applyFont="1" applyFill="1" applyAlignment="1">
      <alignment horizontal="center" vertical="center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A674B-DBF5-43D1-BD17-13F42467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FF811A-7640-47CA-8954-B949C238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4F8C008-40BA-403A-AD25-2D896EEC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1C1E7C-3B90-4D0E-8C6B-A4348ADC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73E291C-5EC9-4AEE-94FC-2E402D36C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21600E5-D03C-448A-90F1-1FC0DB4DE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A35477-741E-4E4F-B43E-8C3C1D39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82257D-9F9E-4C6B-A8B1-2D5CB420D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F5EA96-58B0-4267-8D7C-80B19C9D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78BF9DB-6AA3-4045-8A93-E78A6A24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2113867-38BB-4F26-91B4-87FED4842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D7336B9-9F06-4271-B7C7-938A5F6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E85DE8A-D0F9-4C13-A759-D765142F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2DD210B-DC7A-4820-9A60-E01982390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AD02ACE-7DAB-40B0-9484-A9CB6285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96BADC22-DB70-4A4E-A62F-17C3739B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1411BD4-E203-4128-8975-DC92AE596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FAF6EBB-B589-49A8-B4EF-40729003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4A4C24F-914B-46B8-AE81-D92D0BA3B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6C21700-46B5-4A7A-80A2-820FA201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20E9B30C-B334-4448-8CC6-E656E62B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EF90BF79-1284-44B9-B6B3-0B7AE325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2:T33" tableType="queryTable" totalsRowShown="0">
  <autoFilter ref="C2:T33" xr:uid="{3866D068-A3B6-4E0D-BA36-A77FA03F0952}"/>
  <sortState xmlns:xlrd2="http://schemas.microsoft.com/office/spreadsheetml/2017/richdata2" ref="C3:T33">
    <sortCondition ref="I5:I33"/>
  </sortState>
  <tableColumns count="18">
    <tableColumn id="1" xr3:uid="{A26B1F45-B505-4E5F-8C10-388F8C43FFF7}" uniqueName="1" name="Ángulo" queryTableFieldId="1" dataDxfId="4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topLeftCell="A37" zoomScaleNormal="100" workbookViewId="0">
      <selection activeCell="B18" sqref="B18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147</v>
      </c>
      <c r="E15" s="142"/>
      <c r="F15" s="142"/>
      <c r="G15" s="143"/>
      <c r="H15" s="144"/>
      <c r="I15" s="2"/>
      <c r="J15" s="2"/>
      <c r="K15" s="101" t="s">
        <v>248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420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420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110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110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210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0.25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5.5899999999999998E-2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7.05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223.49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37.03</v>
      </c>
      <c r="C29" s="18" t="s">
        <v>15</v>
      </c>
      <c r="D29" s="4">
        <f>+VLOOKUP($D$15,'PERFILES C TERNIUM'!$A$5:$O$41,15,FALSE)</f>
        <v>2.2999999999999998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31.93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9.2799999999999994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13</v>
      </c>
      <c r="D33" s="7"/>
      <c r="E33" s="19" t="s">
        <v>23</v>
      </c>
      <c r="F33" s="12">
        <f>+ROUND($B$23-$D$23,2)</f>
        <v>13.75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5</v>
      </c>
      <c r="D34" s="7"/>
      <c r="E34" s="19" t="s">
        <v>24</v>
      </c>
      <c r="F34" s="12">
        <f>+ROUND($B$24-$D$23,2)</f>
        <v>5.75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1.5</v>
      </c>
      <c r="D35" s="7"/>
      <c r="E35" s="19" t="s">
        <v>25</v>
      </c>
      <c r="F35" s="12">
        <f>+ROUND($B$25-$D$23/2,2)</f>
        <v>1.88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2.1349999999999998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0.375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30709.575556749998</v>
      </c>
      <c r="K40" s="130">
        <f>+ROUND(J40/J41,2)</f>
        <v>2.86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2.86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10724.872001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-4.9949999999999992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0.58899999999999997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0.14799999999999999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130.22664388020834</v>
      </c>
      <c r="K43" s="35">
        <f>2*F33^3*F34+3*F33^2*F34^2+B19*(48*F35^4+112*F34*F35^3+8*F33*F35^3+48*F33*F34*F35^2+12*F33^2*F35^2+12*F33^2*F34*F35+6*F33^3*F35)</f>
        <v>129538.34167053</v>
      </c>
      <c r="L43" s="132">
        <f>+ROUND(J43*(K43/K44),1)</f>
        <v>1572.9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1572.9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10724.872001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20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6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52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862.98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357.21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186.92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146.19999999999999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146.19999999999999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1.268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119.9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119.9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2159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0.23599999999999999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0.28999999999999998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1.5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119.9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52.28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20</v>
      </c>
      <c r="E112" s="20" t="str">
        <f>+IF($D$112&lt;=$F$112,"&lt;","&gt;")</f>
        <v>&gt;</v>
      </c>
      <c r="F112" s="24">
        <f>+ROUND(D110*0.328,2)</f>
        <v>17.149999999999999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2.5307420000000001E-4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5</v>
      </c>
      <c r="K114" s="66" t="str">
        <f>+IF(N125&lt;=0.673,"be=b","be=ρ x b")</f>
        <v>be=b</v>
      </c>
      <c r="L114" s="42">
        <f>+$N$126</f>
        <v>5</v>
      </c>
      <c r="M114" s="31" t="s">
        <v>54</v>
      </c>
      <c r="N114" s="36">
        <f>ROUND(399*$D$23^4*(($D$112/$D$110)-0.328)^3,10)</f>
        <v>2.5307420000000001E-4</v>
      </c>
      <c r="O114" s="37" t="str">
        <f>+IF($N$114&lt;=$P$114,"&lt;","&gt;")</f>
        <v>&lt;</v>
      </c>
      <c r="P114" s="34">
        <f>+ROUND($D$23^4*((115*$D$112/$D$110)+5),2)</f>
        <v>0.19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2.5307420000000001E-4</v>
      </c>
      <c r="F115" s="2"/>
      <c r="G115" s="2"/>
      <c r="H115" s="60"/>
      <c r="I115" s="31" t="s">
        <v>59</v>
      </c>
      <c r="J115" s="4">
        <f>+$C$34/2</f>
        <v>2.5</v>
      </c>
      <c r="K115" s="49" t="s">
        <v>65</v>
      </c>
      <c r="L115" s="42">
        <f>+($L$114/2)*$N$117</f>
        <v>2.5</v>
      </c>
      <c r="M115" s="52" t="s">
        <v>50</v>
      </c>
      <c r="N115" s="30">
        <f>+IF($N$114&lt;=$P$114,$N$114,$P$114)</f>
        <v>2.5307420000000001E-4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1.5</v>
      </c>
      <c r="K116" s="49" t="s">
        <v>66</v>
      </c>
      <c r="L116" s="42">
        <f>+$L$114-$L$115</f>
        <v>2.5</v>
      </c>
      <c r="M116" s="53" t="s">
        <v>56</v>
      </c>
      <c r="N116" s="30">
        <f>+ROUND($D$23*$C$35^3/12,3)</f>
        <v>7.0000000000000007E-2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2.5</v>
      </c>
      <c r="F117" s="2"/>
      <c r="G117" s="2"/>
      <c r="H117" s="60"/>
      <c r="I117" s="50" t="s">
        <v>53</v>
      </c>
      <c r="J117" s="26">
        <f>+$J$116*$D$23</f>
        <v>0.375</v>
      </c>
      <c r="K117" s="49" t="s">
        <v>67</v>
      </c>
      <c r="L117" s="42">
        <f>+$C$35*$N$117</f>
        <v>1.5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2.5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0.375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1.5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0.48599999999999999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0.375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3.25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3.25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119.9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1469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0.28999999999999998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267.39999999999998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0.67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13</v>
      </c>
      <c r="F135" s="110" t="str">
        <f>+IF(D135="be=b", "Totalmente efectivo", "Parcialmente efectivo")</f>
        <v>Totalmente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TOTALMENTE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7.05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101" t="s">
        <v>278</v>
      </c>
      <c r="K140" s="2"/>
      <c r="L140" s="2"/>
      <c r="M140" s="2"/>
      <c r="N140" s="101" t="s">
        <v>279</v>
      </c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 t="s">
        <v>174</v>
      </c>
      <c r="L141" s="2"/>
      <c r="M141" s="2"/>
      <c r="N141" s="2"/>
      <c r="O141" s="101" t="s">
        <v>174</v>
      </c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2">
        <v>66.52</v>
      </c>
      <c r="L142" s="101" t="s">
        <v>170</v>
      </c>
      <c r="M142" s="2"/>
      <c r="N142" s="101" t="s">
        <v>169</v>
      </c>
      <c r="O142" s="2">
        <v>66.52</v>
      </c>
      <c r="P142" s="101" t="s">
        <v>170</v>
      </c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71.850075000000004</v>
      </c>
      <c r="F143" s="2"/>
      <c r="G143" s="2"/>
      <c r="H143" s="60"/>
      <c r="J143" s="101" t="s">
        <v>171</v>
      </c>
      <c r="K143" s="103">
        <v>70.73</v>
      </c>
      <c r="L143" s="102" t="s">
        <v>172</v>
      </c>
      <c r="M143" s="2"/>
      <c r="N143" s="101" t="s">
        <v>171</v>
      </c>
      <c r="O143" s="103">
        <v>70.73</v>
      </c>
      <c r="P143" s="102" t="s">
        <v>172</v>
      </c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16" s="2" customFormat="1" x14ac:dyDescent="0.2">
      <c r="H145" s="77"/>
    </row>
    <row r="146" spans="8:16" s="2" customFormat="1" x14ac:dyDescent="0.2">
      <c r="H146" s="77"/>
    </row>
    <row r="147" spans="8:16" s="2" customFormat="1" x14ac:dyDescent="0.2">
      <c r="H147" s="77"/>
      <c r="J147" s="101" t="s">
        <v>277</v>
      </c>
      <c r="N147" s="101" t="s">
        <v>277</v>
      </c>
    </row>
    <row r="148" spans="8:16" s="2" customFormat="1" x14ac:dyDescent="0.2">
      <c r="H148" s="77"/>
      <c r="J148" s="101" t="s">
        <v>171</v>
      </c>
      <c r="K148" s="1">
        <v>98.92</v>
      </c>
      <c r="L148" s="102" t="s">
        <v>172</v>
      </c>
      <c r="N148" s="101" t="s">
        <v>171</v>
      </c>
      <c r="O148" s="1">
        <v>98.93</v>
      </c>
      <c r="P148" s="102" t="s">
        <v>172</v>
      </c>
    </row>
    <row r="149" spans="8:16" s="2" customFormat="1" x14ac:dyDescent="0.2">
      <c r="H149" s="77"/>
      <c r="J149" s="101" t="s">
        <v>169</v>
      </c>
      <c r="K149" s="2">
        <v>87.38</v>
      </c>
      <c r="L149" s="101" t="s">
        <v>170</v>
      </c>
      <c r="N149" s="101" t="s">
        <v>169</v>
      </c>
      <c r="O149" s="2">
        <v>93.26</v>
      </c>
      <c r="P149" s="101" t="s">
        <v>170</v>
      </c>
    </row>
    <row r="150" spans="8:16" s="2" customFormat="1" x14ac:dyDescent="0.2">
      <c r="H150" s="77"/>
    </row>
    <row r="151" spans="8:16" s="2" customFormat="1" x14ac:dyDescent="0.2">
      <c r="H151" s="77"/>
    </row>
    <row r="152" spans="8:16" s="2" customFormat="1" x14ac:dyDescent="0.2">
      <c r="H152" s="77"/>
    </row>
    <row r="153" spans="8:16" s="2" customFormat="1" x14ac:dyDescent="0.2">
      <c r="H153" s="77"/>
    </row>
    <row r="154" spans="8:16" s="2" customFormat="1" x14ac:dyDescent="0.2">
      <c r="H154" s="77"/>
    </row>
    <row r="155" spans="8:16" s="2" customFormat="1" x14ac:dyDescent="0.2">
      <c r="H155" s="77"/>
    </row>
    <row r="156" spans="8:16" s="2" customFormat="1" x14ac:dyDescent="0.2">
      <c r="H156" s="77"/>
    </row>
    <row r="157" spans="8:16" s="2" customFormat="1" x14ac:dyDescent="0.2">
      <c r="H157" s="77"/>
    </row>
    <row r="158" spans="8:16" s="2" customFormat="1" x14ac:dyDescent="0.2">
      <c r="H158" s="77"/>
    </row>
    <row r="159" spans="8:16" s="2" customFormat="1" x14ac:dyDescent="0.2">
      <c r="H159" s="77"/>
    </row>
    <row r="160" spans="8:16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64" priority="3" operator="containsText" text="SECCION PARCIALMENTE EFECTIVA">
      <formula>NOT(ISERROR(SEARCH("SECCION PARCIALMENTE EFECTIVA",A137)))</formula>
    </cfRule>
    <cfRule type="containsText" dxfId="63" priority="4" operator="containsText" text="SECCION TOTALMENTE EFECTIVA">
      <formula>NOT(ISERROR(SEARCH("SECCION TOTALMENTE EFECTIVA",A137)))</formula>
    </cfRule>
  </conditionalFormatting>
  <conditionalFormatting sqref="C55 H55">
    <cfRule type="containsText" dxfId="62" priority="13" operator="containsText" text="Ver reglamento">
      <formula>NOT(ISERROR(SEARCH("Ver reglamento",C55)))</formula>
    </cfRule>
    <cfRule type="containsText" dxfId="61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60" priority="15" operator="containsText" text="200 &lt; h/t &lt; 260 - Se requiere rigidizadores de apoyo">
      <formula>NOT(ISERROR(SEARCH("200 &lt; h/t &lt; 260 - Se requiere rigidizadores de apoyo",C55)))</formula>
    </cfRule>
    <cfRule type="containsText" dxfId="59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58" priority="17" operator="containsText" text="VER REGLAMENTO">
      <formula>NOT(ISERROR(SEARCH("VER REGLAMENTO",D51)))</formula>
    </cfRule>
    <cfRule type="containsText" dxfId="57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56" priority="19" operator="containsText" text="&gt; 60 - Elemento NO rigidizado">
      <formula>NOT(ISERROR(SEARCH("&gt; 60 - Elemento NO rigidizado",D50)))</formula>
    </cfRule>
    <cfRule type="containsText" dxfId="55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54" priority="11" operator="containsText" text="Parcialmente efectivo">
      <formula>NOT(ISERROR(SEARCH("Parcialmente efectivo",F102)))</formula>
    </cfRule>
    <cfRule type="containsText" dxfId="53" priority="12" operator="containsText" text="Totalmente efectivo">
      <formula>NOT(ISERROR(SEARCH("Totalmente efectivo",F102)))</formula>
    </cfRule>
  </conditionalFormatting>
  <conditionalFormatting sqref="F116:G116">
    <cfRule type="containsText" dxfId="52" priority="5" operator="containsText" text="Parcialmente efectivo">
      <formula>NOT(ISERROR(SEARCH("Parcialmente efectivo",F116)))</formula>
    </cfRule>
    <cfRule type="containsText" dxfId="51" priority="6" operator="containsText" text="Totalmente efectivo">
      <formula>NOT(ISERROR(SEARCH("Totalmente efectivo",F116)))</formula>
    </cfRule>
  </conditionalFormatting>
  <conditionalFormatting sqref="F135:G135">
    <cfRule type="containsText" dxfId="50" priority="1" operator="containsText" text="Parcialmente efectivo">
      <formula>NOT(ISERROR(SEARCH("Parcialmente efectivo",F135)))</formula>
    </cfRule>
    <cfRule type="containsText" dxfId="49" priority="2" operator="containsText" text="Totalmente efectivo">
      <formula>NOT(ISERROR(SEARCH("Totalmente efectivo",F135)))</formula>
    </cfRule>
  </conditionalFormatting>
  <conditionalFormatting sqref="O121:O122">
    <cfRule type="containsText" dxfId="48" priority="9" operator="containsText" text="NO USAR">
      <formula>NOT(ISERROR(SEARCH("NO USAR",O121)))</formula>
    </cfRule>
    <cfRule type="containsText" dxfId="47" priority="10" operator="containsText" text="USAR">
      <formula>NOT(ISERROR(SEARCH("USAR",O121)))</formula>
    </cfRule>
  </conditionalFormatting>
  <conditionalFormatting sqref="O126:P126">
    <cfRule type="containsText" dxfId="46" priority="7" operator="containsText" text="Parcialmente efectivo">
      <formula>NOT(ISERROR(SEARCH("Parcialmente efectivo",O126)))</formula>
    </cfRule>
    <cfRule type="containsText" dxfId="45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36" zoomScaleNormal="100" workbookViewId="0">
      <selection activeCell="O148" sqref="O148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147</v>
      </c>
      <c r="E15" s="142"/>
      <c r="F15" s="142"/>
      <c r="G15" s="143"/>
      <c r="H15" s="14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110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110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110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110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0.25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5.5899999999999998E-2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7.05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223.49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37.03</v>
      </c>
      <c r="C29" s="18" t="s">
        <v>15</v>
      </c>
      <c r="D29" s="4">
        <f>+VLOOKUP($D$15,'PERFILES C TERNIUM'!$A$5:$O$41,15,FALSE)</f>
        <v>2.2999999999999998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31.93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9.2799999999999994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13</v>
      </c>
      <c r="D33" s="7"/>
      <c r="E33" s="19" t="s">
        <v>23</v>
      </c>
      <c r="F33" s="12">
        <f>+ROUND($B$23-$D$23,2)</f>
        <v>13.75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5</v>
      </c>
      <c r="D34" s="7"/>
      <c r="E34" s="19" t="s">
        <v>24</v>
      </c>
      <c r="F34" s="12">
        <f>+ROUND($B$24-$D$23,2)</f>
        <v>5.75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1.5</v>
      </c>
      <c r="D35" s="7"/>
      <c r="E35" s="19" t="s">
        <v>25</v>
      </c>
      <c r="F35" s="12">
        <f>+ROUND($B$25-$D$23/2,2)</f>
        <v>1.88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2.1349999999999998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0.375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30709.575556749998</v>
      </c>
      <c r="K40" s="130">
        <f>+ROUND(J40/J41,2)</f>
        <v>2.86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2.86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10724.872001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-4.9949999999999992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0.58899999999999997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0.14799999999999999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130.22664388020834</v>
      </c>
      <c r="K43" s="35">
        <f>2*F33^3*F34+3*F33^2*F34^2+B19*(48*F35^4+112*F34*F35^3+8*F33*F35^3+48*F33*F34*F35^2+12*F33^2*F35^2+12*F33^2*F34*F35+6*F33^3*F35)</f>
        <v>129538.34167053</v>
      </c>
      <c r="L43" s="132">
        <f>+ROUND(J43*(K43/K44),1)</f>
        <v>1572.9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1572.9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10724.872001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20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6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52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862.98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5207.6400000000003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2370.67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1919.94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862.98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0.52200000000000002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209.67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209.67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2159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0.312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0.95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1.5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209.67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39.53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20</v>
      </c>
      <c r="E112" s="20" t="str">
        <f>+IF($D$112&lt;=$F$112,"&lt;","&gt;")</f>
        <v>&gt;</v>
      </c>
      <c r="F112" s="24">
        <f>+ROUND(D110*0.328,2)</f>
        <v>12.97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8.7819147000000007E-3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5</v>
      </c>
      <c r="K114" s="66" t="str">
        <f>+IF(N125&lt;=0.673,"be=b","be=ρ x b")</f>
        <v>be=b</v>
      </c>
      <c r="L114" s="42">
        <f>+$N$126</f>
        <v>5</v>
      </c>
      <c r="M114" s="31" t="s">
        <v>54</v>
      </c>
      <c r="N114" s="36">
        <f>ROUND(399*$D$23^4*(($D$112/$D$110)-0.328)^3,10)</f>
        <v>8.7819147000000007E-3</v>
      </c>
      <c r="O114" s="37" t="str">
        <f>+IF($N$114&lt;=$P$114,"&lt;","&gt;")</f>
        <v>&lt;</v>
      </c>
      <c r="P114" s="34">
        <f>+ROUND($D$23^4*((115*$D$112/$D$110)+5),2)</f>
        <v>0.25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8.7819147000000007E-3</v>
      </c>
      <c r="F115" s="2"/>
      <c r="G115" s="2"/>
      <c r="H115" s="60"/>
      <c r="I115" s="31" t="s">
        <v>59</v>
      </c>
      <c r="J115" s="4">
        <f>+$C$34/2</f>
        <v>2.5</v>
      </c>
      <c r="K115" s="49" t="s">
        <v>65</v>
      </c>
      <c r="L115" s="42">
        <f>+($L$114/2)*$N$117</f>
        <v>2.5</v>
      </c>
      <c r="M115" s="52" t="s">
        <v>50</v>
      </c>
      <c r="N115" s="30">
        <f>+IF($N$114&lt;=$P$114,$N$114,$P$114)</f>
        <v>8.7819147000000007E-3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1.5</v>
      </c>
      <c r="K116" s="49" t="s">
        <v>66</v>
      </c>
      <c r="L116" s="42">
        <f>+$L$114-$L$115</f>
        <v>2.5</v>
      </c>
      <c r="M116" s="53" t="s">
        <v>56</v>
      </c>
      <c r="N116" s="30">
        <f>+ROUND($D$23*$C$35^3/12,3)</f>
        <v>7.0000000000000007E-2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2.5</v>
      </c>
      <c r="F117" s="2"/>
      <c r="G117" s="2"/>
      <c r="H117" s="60"/>
      <c r="I117" s="50" t="s">
        <v>53</v>
      </c>
      <c r="J117" s="26">
        <f>+$J$116*$D$23</f>
        <v>0.375</v>
      </c>
      <c r="K117" s="49" t="s">
        <v>67</v>
      </c>
      <c r="L117" s="42">
        <f>+$C$35*$N$117</f>
        <v>1.5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2.5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0.375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1.5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0.45600000000000002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0.375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3.25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3.25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209.67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1469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0.38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267.39999999999998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0.88500000000000001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0.84899999999999998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11.036999999999999</v>
      </c>
      <c r="F135" s="110" t="str">
        <f>+IF(D135="be=b", "Totalmente efectivo", "Parcialmente efectivo")</f>
        <v>Parcialmente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PARCIALMENTE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6.5592499999999996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101" t="s">
        <v>278</v>
      </c>
      <c r="K140" s="2"/>
      <c r="L140" s="2"/>
      <c r="M140" s="2"/>
      <c r="N140" s="101" t="s">
        <v>279</v>
      </c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 t="s">
        <v>173</v>
      </c>
      <c r="L141" s="2"/>
      <c r="M141" s="2"/>
      <c r="N141" s="2"/>
      <c r="O141" s="101" t="s">
        <v>173</v>
      </c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65.010000000000005</v>
      </c>
      <c r="L142" s="102" t="s">
        <v>172</v>
      </c>
      <c r="M142" s="2"/>
      <c r="N142" s="101" t="s">
        <v>169</v>
      </c>
      <c r="O142" s="1">
        <v>65</v>
      </c>
      <c r="P142" s="102" t="s">
        <v>172</v>
      </c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116.8986255375</v>
      </c>
      <c r="F143" s="2"/>
      <c r="G143" s="2"/>
      <c r="H143" s="60"/>
      <c r="J143" s="101" t="s">
        <v>171</v>
      </c>
      <c r="K143" s="2">
        <v>61.56</v>
      </c>
      <c r="L143" s="101" t="s">
        <v>170</v>
      </c>
      <c r="M143" s="2"/>
      <c r="N143" s="101" t="s">
        <v>171</v>
      </c>
      <c r="O143" s="2">
        <v>67.209999999999994</v>
      </c>
      <c r="P143" s="101" t="s">
        <v>170</v>
      </c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16" s="2" customFormat="1" x14ac:dyDescent="0.2">
      <c r="H145" s="77"/>
    </row>
    <row r="146" spans="8:16" s="2" customFormat="1" x14ac:dyDescent="0.2">
      <c r="H146" s="77"/>
      <c r="J146" s="101" t="s">
        <v>277</v>
      </c>
      <c r="N146" s="101" t="s">
        <v>277</v>
      </c>
    </row>
    <row r="147" spans="8:16" s="2" customFormat="1" x14ac:dyDescent="0.2">
      <c r="H147" s="77"/>
      <c r="J147" s="101" t="s">
        <v>169</v>
      </c>
      <c r="K147" s="1">
        <v>92.95</v>
      </c>
      <c r="L147" s="102" t="s">
        <v>172</v>
      </c>
      <c r="N147" s="101" t="s">
        <v>169</v>
      </c>
      <c r="O147" s="1">
        <v>92.96</v>
      </c>
      <c r="P147" s="102" t="s">
        <v>172</v>
      </c>
    </row>
    <row r="148" spans="8:16" s="2" customFormat="1" x14ac:dyDescent="0.2">
      <c r="H148" s="77"/>
      <c r="J148" s="101" t="s">
        <v>171</v>
      </c>
      <c r="K148" s="2">
        <v>91.39</v>
      </c>
      <c r="L148" s="101" t="s">
        <v>170</v>
      </c>
      <c r="N148" s="101" t="s">
        <v>171</v>
      </c>
      <c r="O148" s="2">
        <v>91.39</v>
      </c>
      <c r="P148" s="101" t="s">
        <v>170</v>
      </c>
    </row>
    <row r="149" spans="8:16" s="2" customFormat="1" x14ac:dyDescent="0.2">
      <c r="H149" s="77"/>
    </row>
    <row r="150" spans="8:16" s="2" customFormat="1" x14ac:dyDescent="0.2">
      <c r="H150" s="77"/>
    </row>
    <row r="151" spans="8:16" s="2" customFormat="1" x14ac:dyDescent="0.2">
      <c r="H151" s="77"/>
    </row>
    <row r="152" spans="8:16" s="2" customFormat="1" x14ac:dyDescent="0.2">
      <c r="H152" s="77"/>
    </row>
    <row r="153" spans="8:16" s="2" customFormat="1" x14ac:dyDescent="0.2">
      <c r="H153" s="77"/>
    </row>
    <row r="154" spans="8:16" s="2" customFormat="1" x14ac:dyDescent="0.2">
      <c r="H154" s="77"/>
    </row>
    <row r="155" spans="8:16" s="2" customFormat="1" x14ac:dyDescent="0.2">
      <c r="H155" s="77"/>
    </row>
    <row r="156" spans="8:16" s="2" customFormat="1" x14ac:dyDescent="0.2">
      <c r="H156" s="77"/>
    </row>
    <row r="157" spans="8:16" s="2" customFormat="1" x14ac:dyDescent="0.2">
      <c r="H157" s="77"/>
    </row>
    <row r="158" spans="8:16" s="2" customFormat="1" x14ac:dyDescent="0.2">
      <c r="H158" s="77"/>
    </row>
    <row r="159" spans="8:16" s="2" customFormat="1" x14ac:dyDescent="0.2">
      <c r="H159" s="77"/>
    </row>
    <row r="160" spans="8:16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44" priority="3" operator="containsText" text="SECCION PARCIALMENTE EFECTIVA">
      <formula>NOT(ISERROR(SEARCH("SECCION PARCIALMENTE EFECTIVA",A137)))</formula>
    </cfRule>
    <cfRule type="containsText" dxfId="43" priority="4" operator="containsText" text="SECCION TOTALMENTE EFECTIVA">
      <formula>NOT(ISERROR(SEARCH("SECCION TOTALMENTE EFECTIVA",A137)))</formula>
    </cfRule>
  </conditionalFormatting>
  <conditionalFormatting sqref="C55 H55">
    <cfRule type="containsText" dxfId="42" priority="13" operator="containsText" text="Ver reglamento">
      <formula>NOT(ISERROR(SEARCH("Ver reglamento",C55)))</formula>
    </cfRule>
    <cfRule type="containsText" dxfId="41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40" priority="15" operator="containsText" text="200 &lt; h/t &lt; 260 - Se requiere rigidizadores de apoyo">
      <formula>NOT(ISERROR(SEARCH("200 &lt; h/t &lt; 260 - Se requiere rigidizadores de apoyo",C55)))</formula>
    </cfRule>
    <cfRule type="containsText" dxfId="39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8" priority="17" operator="containsText" text="VER REGLAMENTO">
      <formula>NOT(ISERROR(SEARCH("VER REGLAMENTO",D51)))</formula>
    </cfRule>
    <cfRule type="containsText" dxfId="37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6" priority="19" operator="containsText" text="&gt; 60 - Elemento NO rigidizado">
      <formula>NOT(ISERROR(SEARCH("&gt; 60 - Elemento NO rigidizado",D50)))</formula>
    </cfRule>
    <cfRule type="containsText" dxfId="35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4" priority="11" operator="containsText" text="Parcialmente efectivo">
      <formula>NOT(ISERROR(SEARCH("Parcialmente efectivo",F102)))</formula>
    </cfRule>
    <cfRule type="containsText" dxfId="33" priority="12" operator="containsText" text="Totalmente efectivo">
      <formula>NOT(ISERROR(SEARCH("Totalmente efectivo",F102)))</formula>
    </cfRule>
  </conditionalFormatting>
  <conditionalFormatting sqref="F116:G116">
    <cfRule type="containsText" dxfId="32" priority="5" operator="containsText" text="Parcialmente efectivo">
      <formula>NOT(ISERROR(SEARCH("Parcialmente efectivo",F116)))</formula>
    </cfRule>
    <cfRule type="containsText" dxfId="31" priority="6" operator="containsText" text="Totalmente efectivo">
      <formula>NOT(ISERROR(SEARCH("Totalmente efectivo",F116)))</formula>
    </cfRule>
  </conditionalFormatting>
  <conditionalFormatting sqref="F135:G135">
    <cfRule type="containsText" dxfId="30" priority="1" operator="containsText" text="Parcialmente efectivo">
      <formula>NOT(ISERROR(SEARCH("Parcialmente efectivo",F135)))</formula>
    </cfRule>
    <cfRule type="containsText" dxfId="29" priority="2" operator="containsText" text="Totalmente efectivo">
      <formula>NOT(ISERROR(SEARCH("Totalmente efectivo",F135)))</formula>
    </cfRule>
  </conditionalFormatting>
  <conditionalFormatting sqref="O121:O122">
    <cfRule type="containsText" dxfId="28" priority="9" operator="containsText" text="NO USAR">
      <formula>NOT(ISERROR(SEARCH("NO USAR",O121)))</formula>
    </cfRule>
    <cfRule type="containsText" dxfId="27" priority="10" operator="containsText" text="USAR">
      <formula>NOT(ISERROR(SEARCH("USAR",O121)))</formula>
    </cfRule>
  </conditionalFormatting>
  <conditionalFormatting sqref="O126:P126">
    <cfRule type="containsText" dxfId="26" priority="7" operator="containsText" text="Parcialmente efectivo">
      <formula>NOT(ISERROR(SEARCH("Parcialmente efectivo",O126)))</formula>
    </cfRule>
    <cfRule type="containsText" dxfId="25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T32"/>
  <sheetViews>
    <sheetView tabSelected="1" workbookViewId="0">
      <selection activeCell="I11" sqref="I11"/>
    </sheetView>
  </sheetViews>
  <sheetFormatPr baseColWidth="10" defaultRowHeight="15" x14ac:dyDescent="0.25"/>
  <sheetData>
    <row r="1" spans="1:17" x14ac:dyDescent="0.25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250</v>
      </c>
      <c r="H1" t="s">
        <v>276</v>
      </c>
      <c r="J1" t="s">
        <v>245</v>
      </c>
      <c r="K1" s="108" t="s">
        <v>224</v>
      </c>
    </row>
    <row r="2" spans="1:17" x14ac:dyDescent="0.25">
      <c r="A2">
        <v>26</v>
      </c>
      <c r="B2" t="s">
        <v>123</v>
      </c>
      <c r="C2" t="s">
        <v>123</v>
      </c>
      <c r="J2" t="s">
        <v>19</v>
      </c>
      <c r="K2">
        <f>VLOOKUP(K1,Angulo!C3:T31,6,FALSE)</f>
        <v>2.37</v>
      </c>
      <c r="L2" t="s">
        <v>211</v>
      </c>
      <c r="M2" t="s">
        <v>70</v>
      </c>
      <c r="N2">
        <f>VLOOKUP(K1,Angulo!C3:T31,2,FALSE)</f>
        <v>38.1</v>
      </c>
      <c r="O2" t="s">
        <v>210</v>
      </c>
      <c r="Q2">
        <v>2.37</v>
      </c>
    </row>
    <row r="3" spans="1:17" x14ac:dyDescent="0.25">
      <c r="A3">
        <v>27</v>
      </c>
      <c r="B3">
        <v>0.63</v>
      </c>
      <c r="C3">
        <v>-35.880000000000003</v>
      </c>
      <c r="D3">
        <v>37.54</v>
      </c>
      <c r="E3" cm="1">
        <f t="array" ref="E3">ROUND(Pandeo($K$2,$K$3,B3*100)*2,2)</f>
        <v>63.96</v>
      </c>
      <c r="F3">
        <f>ABS(MIN(C3,D3)/E3)</f>
        <v>0.56097560975609762</v>
      </c>
      <c r="H3">
        <f>MAX(ABS(C3),ABS(D3))/(4*$K$19)</f>
        <v>2.4006074342553303</v>
      </c>
      <c r="J3" t="s">
        <v>246</v>
      </c>
      <c r="K3">
        <f>VLOOKUP(K1,Angulo!C3:T31,18,FALSE)</f>
        <v>0.71</v>
      </c>
      <c r="L3" t="s">
        <v>213</v>
      </c>
      <c r="M3" t="s">
        <v>265</v>
      </c>
      <c r="N3">
        <f>VLOOKUP(K1,Angulo!C3:T31,3,FALSE)</f>
        <v>3.2</v>
      </c>
      <c r="O3" t="s">
        <v>210</v>
      </c>
      <c r="Q3">
        <v>2.87</v>
      </c>
    </row>
    <row r="4" spans="1:17" x14ac:dyDescent="0.25">
      <c r="A4">
        <v>28</v>
      </c>
      <c r="B4">
        <v>0.63</v>
      </c>
      <c r="C4">
        <v>-28.69</v>
      </c>
      <c r="D4">
        <v>30.19</v>
      </c>
      <c r="E4" cm="1">
        <f t="array" ref="E4">ROUND(Pandeo($K$2,$K$3,B4*100)*2,2)</f>
        <v>63.96</v>
      </c>
      <c r="F4">
        <f t="shared" ref="F4:F26" si="0">ABS(MIN(C4,D4)/E4)</f>
        <v>0.44856160100062542</v>
      </c>
      <c r="H4">
        <f t="shared" ref="H4:H26" si="1">MAX(ABS(C4),ABS(D4))/(4*$K$19)</f>
        <v>1.9305897293598411</v>
      </c>
      <c r="M4" t="s">
        <v>266</v>
      </c>
      <c r="N4">
        <f>VLOOKUP(K1,Angulo!C3:T31,8,FALSE)</f>
        <v>1.03</v>
      </c>
      <c r="O4" t="s">
        <v>213</v>
      </c>
    </row>
    <row r="5" spans="1:17" x14ac:dyDescent="0.25">
      <c r="A5">
        <v>29</v>
      </c>
      <c r="B5">
        <v>0.65</v>
      </c>
      <c r="C5">
        <v>24.44</v>
      </c>
      <c r="D5">
        <v>-25.76</v>
      </c>
      <c r="E5" cm="1">
        <f t="array" ref="E5">ROUND(Pandeo($K$2,$K$3,B5*100)*2,2)</f>
        <v>62.36</v>
      </c>
      <c r="F5">
        <f t="shared" si="0"/>
        <v>0.41308531109685698</v>
      </c>
      <c r="H5">
        <f t="shared" si="1"/>
        <v>1.6473001466813351</v>
      </c>
    </row>
    <row r="6" spans="1:17" x14ac:dyDescent="0.25">
      <c r="A6">
        <v>30</v>
      </c>
      <c r="B6">
        <v>0.6</v>
      </c>
      <c r="C6">
        <v>-24.56</v>
      </c>
      <c r="D6">
        <v>25.89</v>
      </c>
      <c r="E6" cm="1">
        <f t="array" ref="E6">ROUND(Pandeo($K$2,$K$3,B6*100)*2,2)</f>
        <v>66.33</v>
      </c>
      <c r="F6">
        <f t="shared" si="0"/>
        <v>0.37026986280717622</v>
      </c>
      <c r="H6">
        <f t="shared" si="1"/>
        <v>1.6556133849992143</v>
      </c>
    </row>
    <row r="7" spans="1:17" x14ac:dyDescent="0.25">
      <c r="A7">
        <v>31</v>
      </c>
      <c r="B7">
        <v>0.63</v>
      </c>
      <c r="C7">
        <v>20.45</v>
      </c>
      <c r="D7">
        <v>-21.6</v>
      </c>
      <c r="E7" cm="1">
        <f t="array" ref="E7">ROUND(Pandeo($K$2,$K$3,B7*100)*2,2)</f>
        <v>63.96</v>
      </c>
      <c r="F7">
        <f t="shared" si="0"/>
        <v>0.33771106941838652</v>
      </c>
      <c r="H7">
        <f t="shared" si="1"/>
        <v>1.3812765205091939</v>
      </c>
      <c r="J7" t="s">
        <v>251</v>
      </c>
    </row>
    <row r="8" spans="1:17" x14ac:dyDescent="0.25">
      <c r="A8">
        <v>32</v>
      </c>
      <c r="B8">
        <v>1.1599999999999999</v>
      </c>
      <c r="C8">
        <v>-19.72</v>
      </c>
      <c r="D8">
        <v>20.83</v>
      </c>
      <c r="E8" cm="1">
        <f t="array" ref="E8">ROUND(Pandeo($K$2,$K$3,B8*100)*2,2)</f>
        <v>26.13</v>
      </c>
      <c r="F8">
        <f t="shared" si="0"/>
        <v>0.75468809797168002</v>
      </c>
      <c r="H8">
        <f t="shared" si="1"/>
        <v>1.3320365704725234</v>
      </c>
      <c r="J8" t="s">
        <v>252</v>
      </c>
      <c r="K8">
        <f>MAX(C3:D26)/2</f>
        <v>33.484999999999999</v>
      </c>
      <c r="L8" t="s">
        <v>254</v>
      </c>
    </row>
    <row r="9" spans="1:17" x14ac:dyDescent="0.25">
      <c r="A9">
        <v>33</v>
      </c>
      <c r="B9">
        <v>1.2</v>
      </c>
      <c r="C9">
        <v>14.98</v>
      </c>
      <c r="D9">
        <v>-15.9</v>
      </c>
      <c r="E9" cm="1">
        <f t="array" ref="E9">ROUND(Pandeo($K$2,$K$3,B9*100)*2,2)</f>
        <v>24.42</v>
      </c>
      <c r="F9">
        <f t="shared" si="0"/>
        <v>0.65110565110565111</v>
      </c>
      <c r="H9">
        <f t="shared" si="1"/>
        <v>1.0167729942637123</v>
      </c>
      <c r="J9" t="s">
        <v>253</v>
      </c>
      <c r="K9">
        <f>MIN(C3:D26)/2</f>
        <v>-31.445</v>
      </c>
      <c r="L9" t="s">
        <v>254</v>
      </c>
    </row>
    <row r="10" spans="1:17" x14ac:dyDescent="0.25">
      <c r="A10">
        <v>34</v>
      </c>
      <c r="B10">
        <v>1.1100000000000001</v>
      </c>
      <c r="C10">
        <v>-14.57</v>
      </c>
      <c r="D10">
        <v>15.46</v>
      </c>
      <c r="E10" cm="1">
        <f t="array" ref="E10">ROUND(Pandeo($K$2,$K$3,B10*100)*2,2)</f>
        <v>28.54</v>
      </c>
      <c r="F10">
        <f t="shared" si="0"/>
        <v>0.5105115627189909</v>
      </c>
      <c r="H10">
        <f t="shared" si="1"/>
        <v>0.9886358799570435</v>
      </c>
    </row>
    <row r="11" spans="1:17" x14ac:dyDescent="0.25">
      <c r="A11">
        <v>35</v>
      </c>
      <c r="B11">
        <v>1.1599999999999999</v>
      </c>
      <c r="C11">
        <v>9.4600000000000009</v>
      </c>
      <c r="D11">
        <v>-10.14</v>
      </c>
      <c r="E11" cm="1">
        <f t="array" ref="E11">ROUND(Pandeo($K$2,$K$3,B11*100)*2,2)</f>
        <v>26.13</v>
      </c>
      <c r="F11">
        <f t="shared" si="0"/>
        <v>0.38805970149253732</v>
      </c>
      <c r="H11">
        <f t="shared" si="1"/>
        <v>0.64843258879459387</v>
      </c>
      <c r="J11" t="s">
        <v>255</v>
      </c>
      <c r="K11">
        <v>3</v>
      </c>
      <c r="L11" t="s">
        <v>210</v>
      </c>
    </row>
    <row r="12" spans="1:17" x14ac:dyDescent="0.25">
      <c r="A12">
        <v>36</v>
      </c>
      <c r="B12">
        <v>1.06</v>
      </c>
      <c r="C12">
        <v>-9.1199999999999992</v>
      </c>
      <c r="D12">
        <v>9.7799999999999994</v>
      </c>
      <c r="E12" cm="1">
        <f t="array" ref="E12">ROUND(Pandeo($K$2,$K$3,B12*100)*2,2)</f>
        <v>31.29</v>
      </c>
      <c r="F12">
        <f t="shared" si="0"/>
        <v>0.29146692233940552</v>
      </c>
      <c r="H12">
        <f t="shared" si="1"/>
        <v>0.6254113134527739</v>
      </c>
      <c r="J12" t="s">
        <v>256</v>
      </c>
      <c r="K12">
        <v>3.2</v>
      </c>
    </row>
    <row r="13" spans="1:17" x14ac:dyDescent="0.25">
      <c r="A13">
        <v>37</v>
      </c>
      <c r="B13">
        <v>1.1100000000000001</v>
      </c>
      <c r="C13">
        <v>3.3</v>
      </c>
      <c r="D13">
        <v>-3.72</v>
      </c>
      <c r="E13" cm="1">
        <f t="array" ref="E13">ROUND(Pandeo($K$2,$K$3,B13*100)*2,2)</f>
        <v>28.54</v>
      </c>
      <c r="F13">
        <f t="shared" si="0"/>
        <v>0.13034337771548704</v>
      </c>
      <c r="H13">
        <f t="shared" si="1"/>
        <v>0.2378865118654723</v>
      </c>
      <c r="J13" t="s">
        <v>257</v>
      </c>
      <c r="K13">
        <v>3.2</v>
      </c>
      <c r="M13" t="s">
        <v>260</v>
      </c>
      <c r="N13">
        <f>K13*0.707/10</f>
        <v>0.22624</v>
      </c>
    </row>
    <row r="14" spans="1:17" x14ac:dyDescent="0.25">
      <c r="A14">
        <v>38</v>
      </c>
      <c r="B14">
        <v>1.01</v>
      </c>
      <c r="C14">
        <v>-3.23</v>
      </c>
      <c r="D14">
        <v>3.63</v>
      </c>
      <c r="E14" cm="1">
        <f t="array" ref="E14">ROUND(Pandeo($K$2,$K$3,B14*100)*2,2)</f>
        <v>34.47</v>
      </c>
      <c r="F14">
        <f t="shared" si="0"/>
        <v>9.3704670728169431E-2</v>
      </c>
      <c r="H14">
        <f t="shared" si="1"/>
        <v>0.23213119303001731</v>
      </c>
    </row>
    <row r="15" spans="1:17" x14ac:dyDescent="0.25">
      <c r="A15">
        <v>39</v>
      </c>
      <c r="B15">
        <v>1.06</v>
      </c>
      <c r="C15">
        <v>-3.37</v>
      </c>
      <c r="D15">
        <v>3.24</v>
      </c>
      <c r="E15" cm="1">
        <f t="array" ref="E15">ROUND(Pandeo($K$2,$K$3,B15*100)*2,2)</f>
        <v>31.29</v>
      </c>
      <c r="F15">
        <f t="shared" si="0"/>
        <v>0.10770214125918824</v>
      </c>
      <c r="H15">
        <f t="shared" si="1"/>
        <v>0.2155047163942585</v>
      </c>
      <c r="J15" t="s">
        <v>258</v>
      </c>
      <c r="K15">
        <v>480</v>
      </c>
      <c r="L15" t="s">
        <v>259</v>
      </c>
      <c r="M15" t="s">
        <v>261</v>
      </c>
      <c r="N15">
        <f>0.6*K15</f>
        <v>288</v>
      </c>
    </row>
    <row r="16" spans="1:17" x14ac:dyDescent="0.25">
      <c r="A16">
        <v>40</v>
      </c>
      <c r="B16">
        <v>0.96</v>
      </c>
      <c r="C16">
        <v>3.33</v>
      </c>
      <c r="D16">
        <v>-3.21</v>
      </c>
      <c r="E16" cm="1">
        <f t="array" ref="E16">ROUND(Pandeo($K$2,$K$3,B16*100)*2,2)</f>
        <v>38.07</v>
      </c>
      <c r="F16">
        <f t="shared" si="0"/>
        <v>8.4318360914105592E-2</v>
      </c>
      <c r="H16">
        <f t="shared" si="1"/>
        <v>0.21294679691183407</v>
      </c>
    </row>
    <row r="17" spans="1:20" x14ac:dyDescent="0.25">
      <c r="A17">
        <v>41</v>
      </c>
      <c r="B17">
        <v>1.02</v>
      </c>
      <c r="C17">
        <v>-10.82</v>
      </c>
      <c r="D17">
        <v>11.01</v>
      </c>
      <c r="E17" cm="1">
        <f t="array" ref="E17">ROUND(Pandeo($K$2,$K$3,B17*100)*2,2)</f>
        <v>33.79</v>
      </c>
      <c r="F17">
        <f t="shared" si="0"/>
        <v>0.3202130807931341</v>
      </c>
      <c r="H17">
        <f t="shared" si="1"/>
        <v>0.7040673375373252</v>
      </c>
      <c r="J17" t="s">
        <v>262</v>
      </c>
      <c r="K17">
        <v>0.6</v>
      </c>
    </row>
    <row r="18" spans="1:20" x14ac:dyDescent="0.25">
      <c r="A18">
        <v>42</v>
      </c>
      <c r="B18">
        <v>0.92</v>
      </c>
      <c r="C18">
        <v>10.42</v>
      </c>
      <c r="D18">
        <v>-10.6</v>
      </c>
      <c r="E18" cm="1">
        <f t="array" ref="E18">ROUND(Pandeo($K$2,$K$3,B18*100)*2,2)</f>
        <v>41.01</v>
      </c>
      <c r="F18">
        <f t="shared" si="0"/>
        <v>0.25847354303828335</v>
      </c>
      <c r="H18">
        <f t="shared" si="1"/>
        <v>0.6778486628424748</v>
      </c>
    </row>
    <row r="19" spans="1:20" x14ac:dyDescent="0.25">
      <c r="A19">
        <v>43</v>
      </c>
      <c r="B19">
        <v>0.98</v>
      </c>
      <c r="C19">
        <v>-19.350000000000001</v>
      </c>
      <c r="D19">
        <v>19.899999999999999</v>
      </c>
      <c r="E19" cm="1">
        <f t="array" ref="E19">ROUND(Pandeo($K$2,$K$3,B19*100)*2,2)</f>
        <v>36.61</v>
      </c>
      <c r="F19">
        <f t="shared" si="0"/>
        <v>0.52854411363015574</v>
      </c>
      <c r="H19">
        <f t="shared" si="1"/>
        <v>1.2725649425061554</v>
      </c>
      <c r="J19" t="s">
        <v>264</v>
      </c>
      <c r="K19">
        <f>K17*N15*N13*0.1</f>
        <v>3.9094271999999997</v>
      </c>
      <c r="P19" t="s">
        <v>272</v>
      </c>
    </row>
    <row r="20" spans="1:20" x14ac:dyDescent="0.25">
      <c r="A20">
        <v>44</v>
      </c>
      <c r="B20">
        <v>0.87</v>
      </c>
      <c r="C20">
        <v>18.829999999999998</v>
      </c>
      <c r="D20">
        <v>-19.37</v>
      </c>
      <c r="E20" cm="1">
        <f t="array" ref="E20">ROUND(Pandeo($K$2,$K$3,B20*100)*2,2)</f>
        <v>44.81</v>
      </c>
      <c r="F20">
        <f t="shared" si="0"/>
        <v>0.43226958268243698</v>
      </c>
      <c r="H20">
        <f t="shared" si="1"/>
        <v>1.2386725093640318</v>
      </c>
      <c r="J20" t="s">
        <v>263</v>
      </c>
      <c r="K20">
        <f>K8/(2*K19)</f>
        <v>4.2825966934491069</v>
      </c>
      <c r="P20" t="s">
        <v>274</v>
      </c>
      <c r="Q20">
        <f>N2/10</f>
        <v>3.81</v>
      </c>
    </row>
    <row r="21" spans="1:20" x14ac:dyDescent="0.25">
      <c r="A21">
        <v>45</v>
      </c>
      <c r="B21">
        <v>0.93</v>
      </c>
      <c r="C21">
        <v>-29.25</v>
      </c>
      <c r="D21">
        <v>30.21</v>
      </c>
      <c r="E21" cm="1">
        <f t="array" ref="E21">ROUND(Pandeo($K$2,$K$3,B21*100)*2,2)</f>
        <v>40.270000000000003</v>
      </c>
      <c r="F21">
        <f t="shared" si="0"/>
        <v>0.72634715669232675</v>
      </c>
      <c r="H21">
        <f t="shared" si="1"/>
        <v>1.9318686891010532</v>
      </c>
      <c r="P21" t="s">
        <v>273</v>
      </c>
      <c r="Q21">
        <f>ROUND(K19*Q20,2)</f>
        <v>14.89</v>
      </c>
    </row>
    <row r="22" spans="1:20" x14ac:dyDescent="0.25">
      <c r="A22">
        <v>46</v>
      </c>
      <c r="B22">
        <v>0.83</v>
      </c>
      <c r="C22">
        <v>27.21</v>
      </c>
      <c r="D22">
        <v>-28.09</v>
      </c>
      <c r="E22" cm="1">
        <f t="array" ref="E22">ROUND(Pandeo($K$2,$K$3,B22*100)*2,2)</f>
        <v>47.92</v>
      </c>
      <c r="F22">
        <f t="shared" si="0"/>
        <v>0.58618530884808007</v>
      </c>
      <c r="H22">
        <f t="shared" si="1"/>
        <v>1.7962989565325582</v>
      </c>
      <c r="P22" t="s">
        <v>275</v>
      </c>
      <c r="Q22">
        <f>K8-Q21</f>
        <v>18.594999999999999</v>
      </c>
    </row>
    <row r="23" spans="1:20" x14ac:dyDescent="0.25">
      <c r="A23">
        <v>47</v>
      </c>
      <c r="B23">
        <v>0.89</v>
      </c>
      <c r="C23">
        <v>-40.299999999999997</v>
      </c>
      <c r="D23">
        <v>41.71</v>
      </c>
      <c r="E23" cm="1">
        <f t="array" ref="E23">ROUND(Pandeo($K$2,$K$3,B23*100)*2,2)</f>
        <v>43.27</v>
      </c>
      <c r="F23">
        <f t="shared" si="0"/>
        <v>0.93136122024497325</v>
      </c>
      <c r="H23">
        <f t="shared" si="1"/>
        <v>2.6672705402980776</v>
      </c>
    </row>
    <row r="24" spans="1:20" x14ac:dyDescent="0.25">
      <c r="A24">
        <v>48</v>
      </c>
      <c r="B24">
        <v>0.37</v>
      </c>
      <c r="C24">
        <v>-62.89</v>
      </c>
      <c r="D24">
        <v>66.97</v>
      </c>
      <c r="E24" cm="1">
        <f t="array" ref="E24">ROUND(Pandeo($K$2,$K$3,B24*100)*2,2)</f>
        <v>82.7</v>
      </c>
      <c r="F24">
        <f t="shared" si="0"/>
        <v>0.76045949214026598</v>
      </c>
      <c r="H24">
        <f t="shared" si="1"/>
        <v>4.2825966934491069</v>
      </c>
      <c r="J24" t="s">
        <v>267</v>
      </c>
      <c r="P24" t="s">
        <v>267</v>
      </c>
    </row>
    <row r="25" spans="1:20" x14ac:dyDescent="0.25">
      <c r="A25">
        <v>49</v>
      </c>
      <c r="E25" cm="1">
        <f t="array" ref="E25">ROUND(Pandeo($K$2,$K$3,B25*100)*2,2)</f>
        <v>94.68</v>
      </c>
      <c r="F25">
        <f t="shared" si="0"/>
        <v>0</v>
      </c>
      <c r="H25">
        <f t="shared" si="1"/>
        <v>0</v>
      </c>
      <c r="J25" t="s">
        <v>268</v>
      </c>
      <c r="K25">
        <f>ROUND(K8*($N$2/10-$N$4)/($N$2/10),2)</f>
        <v>24.43</v>
      </c>
      <c r="M25" t="s">
        <v>270</v>
      </c>
      <c r="N25">
        <f>$K$25/K19</f>
        <v>6.2489972955628899</v>
      </c>
      <c r="P25" t="s">
        <v>268</v>
      </c>
      <c r="Q25">
        <f>ROUND(Q22*($N$2/10-$N$4)/($N$2/10),2)</f>
        <v>13.57</v>
      </c>
      <c r="S25" t="s">
        <v>270</v>
      </c>
      <c r="T25">
        <f>$Q$25/K19</f>
        <v>3.471096737649956</v>
      </c>
    </row>
    <row r="26" spans="1:20" x14ac:dyDescent="0.25">
      <c r="A26">
        <v>50</v>
      </c>
      <c r="E26" cm="1">
        <f t="array" ref="E26">ROUND(Pandeo($K$2,$K$3,B26*100)*2,2)</f>
        <v>94.68</v>
      </c>
      <c r="F26">
        <f t="shared" si="0"/>
        <v>0</v>
      </c>
      <c r="H26">
        <f t="shared" si="1"/>
        <v>0</v>
      </c>
      <c r="J26" t="s">
        <v>269</v>
      </c>
      <c r="K26">
        <f>ROUND(K8*$N$4/($N$2/10),2)</f>
        <v>9.0500000000000007</v>
      </c>
      <c r="M26" t="s">
        <v>271</v>
      </c>
      <c r="N26">
        <f>$K$26/K19</f>
        <v>2.3149171315941124</v>
      </c>
      <c r="P26" t="s">
        <v>269</v>
      </c>
      <c r="Q26">
        <f>ROUND(Q22*$N$4/($N$2/10),2)</f>
        <v>5.03</v>
      </c>
      <c r="S26" t="s">
        <v>271</v>
      </c>
      <c r="T26">
        <f>$Q$26/K19</f>
        <v>1.2866334996594899</v>
      </c>
    </row>
    <row r="27" spans="1:20" x14ac:dyDescent="0.25">
      <c r="A27">
        <v>51</v>
      </c>
      <c r="B27" t="s">
        <v>123</v>
      </c>
    </row>
    <row r="28" spans="1:20" x14ac:dyDescent="0.25">
      <c r="A28">
        <v>52</v>
      </c>
      <c r="B28">
        <v>0.63</v>
      </c>
      <c r="N28">
        <f>AVERAGE(N25:N26)</f>
        <v>4.2819572135785009</v>
      </c>
      <c r="T28">
        <f>AVERAGE(T25:T26)</f>
        <v>2.3788651186547227</v>
      </c>
    </row>
    <row r="29" spans="1:20" x14ac:dyDescent="0.25">
      <c r="A29">
        <v>53</v>
      </c>
      <c r="B29">
        <v>0.63</v>
      </c>
    </row>
    <row r="30" spans="1:20" x14ac:dyDescent="0.25">
      <c r="A30">
        <v>54</v>
      </c>
      <c r="B30">
        <v>0.63</v>
      </c>
    </row>
    <row r="31" spans="1:20" x14ac:dyDescent="0.25">
      <c r="A31">
        <v>55</v>
      </c>
      <c r="B31">
        <v>0.61</v>
      </c>
    </row>
    <row r="32" spans="1:20" x14ac:dyDescent="0.25">
      <c r="A32">
        <v>56</v>
      </c>
      <c r="B32">
        <v>0.36</v>
      </c>
    </row>
  </sheetData>
  <conditionalFormatting sqref="C1:D1048576 E1 H1">
    <cfRule type="cellIs" dxfId="3" priority="3" operator="lessThan">
      <formula>0</formula>
    </cfRule>
  </conditionalFormatting>
  <conditionalFormatting sqref="F1:F1048576">
    <cfRule type="cellIs" dxfId="2" priority="2" operator="greaterThan">
      <formula>1</formula>
    </cfRule>
  </conditionalFormatting>
  <conditionalFormatting sqref="F3:F2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{EA20E699-6F42-4E1D-AB80-EF0B60743738}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20E699-6F42-4E1D-AB80-EF0B607437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F3:F24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1B7FD78-B778-4B84-960B-7545FAB68F02}">
          <x14:formula1>
            <xm:f>Angulo!$C$3:$C$31</xm:f>
          </x14:formula1>
          <xm:sqref>K1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8757-DB7B-47EA-A400-82E7E2955703}">
  <sheetPr codeName="Hoja5"/>
  <dimension ref="A1:AD351"/>
  <sheetViews>
    <sheetView topLeftCell="A118" zoomScaleNormal="100" workbookViewId="0">
      <selection activeCell="L144" sqref="L144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148</v>
      </c>
      <c r="E15" s="142"/>
      <c r="F15" s="142"/>
      <c r="G15" s="143"/>
      <c r="H15" s="14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105">
        <v>120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105">
        <v>120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120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105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60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106"/>
      <c r="B36" s="106"/>
      <c r="C36" s="12"/>
      <c r="D36" s="7"/>
      <c r="E36" s="104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106"/>
      <c r="B37" s="106"/>
      <c r="C37" s="12"/>
      <c r="D37" s="7"/>
      <c r="E37" s="104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29565.096140799997</v>
      </c>
      <c r="K40" s="130">
        <f>+ROUND(J40/J41,2)</f>
        <v>2.82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10498.029055999999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32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10498.029055999999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105">
        <f>+$C$33/$D$23</f>
        <v>39.75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712.59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4375.87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1963.55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1596.07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712.59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0.57399999999999995</v>
      </c>
      <c r="C83" s="105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204.73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204.73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105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0.218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204.73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40.01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13.12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2.8119370000000002E-4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2.8119370000000002E-4</v>
      </c>
      <c r="O114" s="37" t="str">
        <f>+IF($N$114&lt;=$P$114,"&lt;","&gt;")</f>
        <v>&lt;</v>
      </c>
      <c r="P114" s="34">
        <f>+ROUND($D$23^4*((115*$D$112/$D$110)+5),2)</f>
        <v>0.5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2.8119370000000002E-4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2.8119370000000002E-4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204.73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105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0.28000000000000003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0.66900000000000004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10" t="str">
        <f>+IF(D135="be=b", "Totalmente efectivo", "Parcialmente efectivo")</f>
        <v>Totalmente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TOTALMENTE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/>
      <c r="L141" s="2"/>
      <c r="M141" s="2"/>
      <c r="N141" s="101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L142" s="102" t="s">
        <v>249</v>
      </c>
      <c r="M142" s="2"/>
      <c r="N142" s="2"/>
      <c r="O142" s="101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152.61597849999998</v>
      </c>
      <c r="F143" s="2"/>
      <c r="G143" s="2"/>
      <c r="H143" s="60"/>
      <c r="J143" s="101"/>
      <c r="K143" s="2"/>
      <c r="L143" s="101">
        <v>70.900000000000006</v>
      </c>
      <c r="M143" s="101" t="s">
        <v>172</v>
      </c>
      <c r="N143" s="107"/>
      <c r="O143" s="10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24" priority="3" operator="containsText" text="SECCION PARCIALMENTE EFECTIVA">
      <formula>NOT(ISERROR(SEARCH("SECCION PARCIALMENTE EFECTIVA",A137)))</formula>
    </cfRule>
    <cfRule type="containsText" dxfId="23" priority="4" operator="containsText" text="SECCION TOTALMENTE EFECTIVA">
      <formula>NOT(ISERROR(SEARCH("SECCION TOTALMENTE EFECTIVA",A137)))</formula>
    </cfRule>
  </conditionalFormatting>
  <conditionalFormatting sqref="C55 H55">
    <cfRule type="containsText" dxfId="22" priority="13" operator="containsText" text="Ver reglamento">
      <formula>NOT(ISERROR(SEARCH("Ver reglamento",C55)))</formula>
    </cfRule>
    <cfRule type="containsText" dxfId="21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20" priority="15" operator="containsText" text="200 &lt; h/t &lt; 260 - Se requiere rigidizadores de apoyo">
      <formula>NOT(ISERROR(SEARCH("200 &lt; h/t &lt; 260 - Se requiere rigidizadores de apoyo",C55)))</formula>
    </cfRule>
    <cfRule type="containsText" dxfId="19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8" priority="17" operator="containsText" text="VER REGLAMENTO">
      <formula>NOT(ISERROR(SEARCH("VER REGLAMENTO",D51)))</formula>
    </cfRule>
    <cfRule type="containsText" dxfId="17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6" priority="19" operator="containsText" text="&gt; 60 - Elemento NO rigidizado">
      <formula>NOT(ISERROR(SEARCH("&gt; 60 - Elemento NO rigidizado",D50)))</formula>
    </cfRule>
    <cfRule type="containsText" dxfId="15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14" priority="11" operator="containsText" text="Parcialmente efectivo">
      <formula>NOT(ISERROR(SEARCH("Parcialmente efectivo",F102)))</formula>
    </cfRule>
    <cfRule type="containsText" dxfId="13" priority="12" operator="containsText" text="Totalmente efectivo">
      <formula>NOT(ISERROR(SEARCH("Totalmente efectivo",F102)))</formula>
    </cfRule>
  </conditionalFormatting>
  <conditionalFormatting sqref="F116:G116">
    <cfRule type="containsText" dxfId="12" priority="5" operator="containsText" text="Parcialmente efectivo">
      <formula>NOT(ISERROR(SEARCH("Parcialmente efectivo",F116)))</formula>
    </cfRule>
    <cfRule type="containsText" dxfId="11" priority="6" operator="containsText" text="Totalmente efectivo">
      <formula>NOT(ISERROR(SEARCH("Totalmente efectivo",F116)))</formula>
    </cfRule>
  </conditionalFormatting>
  <conditionalFormatting sqref="F135:G135">
    <cfRule type="containsText" dxfId="10" priority="1" operator="containsText" text="Parcialmente efectivo">
      <formula>NOT(ISERROR(SEARCH("Parcialmente efectivo",F135)))</formula>
    </cfRule>
    <cfRule type="containsText" dxfId="9" priority="2" operator="containsText" text="Totalmente efectivo">
      <formula>NOT(ISERROR(SEARCH("Totalmente efectivo",F135)))</formula>
    </cfRule>
  </conditionalFormatting>
  <conditionalFormatting sqref="O121:O122">
    <cfRule type="containsText" dxfId="8" priority="9" operator="containsText" text="NO USAR">
      <formula>NOT(ISERROR(SEARCH("NO USAR",O121)))</formula>
    </cfRule>
    <cfRule type="containsText" dxfId="7" priority="10" operator="containsText" text="USAR">
      <formula>NOT(ISERROR(SEARCH("USAR",O121)))</formula>
    </cfRule>
  </conditionalFormatting>
  <conditionalFormatting sqref="O126:P126">
    <cfRule type="containsText" dxfId="6" priority="7" operator="containsText" text="Parcialmente efectivo">
      <formula>NOT(ISERROR(SEARCH("Parcialmente efectivo",O126)))</formula>
    </cfRule>
    <cfRule type="containsText" dxfId="5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B2912-980D-4AD7-B1C1-BE1EB457A777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5"/>
  <sheetViews>
    <sheetView workbookViewId="0">
      <selection activeCell="C1" sqref="C1:T1"/>
    </sheetView>
  </sheetViews>
  <sheetFormatPr baseColWidth="10" defaultRowHeight="15" x14ac:dyDescent="0.25"/>
  <cols>
    <col min="3" max="3" width="10.7109375" bestFit="1" customWidth="1"/>
    <col min="4" max="4" width="7.28515625" bestFit="1" customWidth="1"/>
    <col min="5" max="5" width="9.7109375" bestFit="1" customWidth="1"/>
    <col min="6" max="6" width="18.7109375" bestFit="1" customWidth="1"/>
    <col min="7" max="7" width="10.7109375" bestFit="1" customWidth="1"/>
    <col min="8" max="8" width="17.28515625" bestFit="1" customWidth="1"/>
    <col min="9" max="9" width="35.28515625" bestFit="1" customWidth="1"/>
    <col min="10" max="10" width="31.7109375" bestFit="1" customWidth="1"/>
    <col min="11" max="11" width="10.7109375" bestFit="1" customWidth="1"/>
    <col min="12" max="12" width="11.7109375" bestFit="1" customWidth="1"/>
    <col min="13" max="13" width="21.7109375" bestFit="1" customWidth="1"/>
    <col min="14" max="15" width="11.7109375" bestFit="1" customWidth="1"/>
    <col min="16" max="16" width="19.7109375" bestFit="1" customWidth="1"/>
    <col min="17" max="17" width="11.7109375" bestFit="1" customWidth="1"/>
    <col min="18" max="18" width="15" bestFit="1" customWidth="1"/>
    <col min="19" max="20" width="11.7109375" bestFit="1" customWidth="1"/>
  </cols>
  <sheetData>
    <row r="1" spans="1:20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</row>
    <row r="2" spans="1:20" x14ac:dyDescent="0.25">
      <c r="C2" t="s">
        <v>178</v>
      </c>
      <c r="D2" t="s">
        <v>179</v>
      </c>
      <c r="E2" t="s">
        <v>107</v>
      </c>
      <c r="F2" t="s">
        <v>180</v>
      </c>
      <c r="G2" t="s">
        <v>181</v>
      </c>
      <c r="H2" t="s">
        <v>182</v>
      </c>
      <c r="I2" t="s">
        <v>183</v>
      </c>
      <c r="J2" t="s">
        <v>184</v>
      </c>
      <c r="K2" t="s">
        <v>185</v>
      </c>
      <c r="L2" t="s">
        <v>186</v>
      </c>
      <c r="M2" t="s">
        <v>187</v>
      </c>
      <c r="N2" t="s">
        <v>188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194</v>
      </c>
    </row>
    <row r="3" spans="1:20" x14ac:dyDescent="0.25">
      <c r="A3" t="s">
        <v>216</v>
      </c>
      <c r="C3" t="s">
        <v>216</v>
      </c>
      <c r="D3">
        <v>12.7</v>
      </c>
      <c r="E3">
        <v>3.2</v>
      </c>
      <c r="F3">
        <v>4</v>
      </c>
      <c r="G3">
        <v>2</v>
      </c>
      <c r="H3">
        <v>0.71</v>
      </c>
      <c r="I3">
        <v>0.56000000000000005</v>
      </c>
      <c r="J3">
        <v>0.42</v>
      </c>
      <c r="K3">
        <v>0.95</v>
      </c>
      <c r="L3">
        <v>0.62</v>
      </c>
      <c r="M3">
        <v>0.19</v>
      </c>
      <c r="N3">
        <v>0.08</v>
      </c>
      <c r="O3">
        <v>0.28999999999999998</v>
      </c>
      <c r="P3">
        <v>0.1</v>
      </c>
      <c r="Q3">
        <v>0.08</v>
      </c>
      <c r="R3">
        <v>0.35</v>
      </c>
      <c r="S3">
        <v>0.45</v>
      </c>
      <c r="T3">
        <v>0.24</v>
      </c>
    </row>
    <row r="4" spans="1:20" x14ac:dyDescent="0.25">
      <c r="A4" t="s">
        <v>217</v>
      </c>
      <c r="C4" t="s">
        <v>217</v>
      </c>
      <c r="D4">
        <v>15.9</v>
      </c>
      <c r="E4">
        <v>3.2</v>
      </c>
      <c r="F4">
        <v>4</v>
      </c>
      <c r="G4">
        <v>2</v>
      </c>
      <c r="H4">
        <v>0.94</v>
      </c>
      <c r="I4">
        <v>0.74</v>
      </c>
      <c r="J4">
        <v>0.5</v>
      </c>
      <c r="K4">
        <v>1.1299999999999999</v>
      </c>
      <c r="L4">
        <v>0.71</v>
      </c>
      <c r="M4">
        <v>0.2</v>
      </c>
      <c r="N4">
        <v>0.08</v>
      </c>
      <c r="O4">
        <v>0.31</v>
      </c>
      <c r="P4">
        <v>0.18</v>
      </c>
      <c r="Q4">
        <v>0.12</v>
      </c>
      <c r="R4">
        <v>0.46</v>
      </c>
      <c r="S4">
        <v>0.56999999999999995</v>
      </c>
      <c r="T4">
        <v>0.3</v>
      </c>
    </row>
    <row r="5" spans="1:20" x14ac:dyDescent="0.25">
      <c r="A5" t="s">
        <v>218</v>
      </c>
      <c r="C5" t="s">
        <v>218</v>
      </c>
      <c r="D5">
        <v>19.100000000000001</v>
      </c>
      <c r="E5">
        <v>3.2</v>
      </c>
      <c r="F5">
        <v>4</v>
      </c>
      <c r="G5">
        <v>2</v>
      </c>
      <c r="H5">
        <v>1.1299999999999999</v>
      </c>
      <c r="I5">
        <v>0.89</v>
      </c>
      <c r="J5">
        <v>0.57999999999999996</v>
      </c>
      <c r="K5">
        <v>1.34</v>
      </c>
      <c r="L5">
        <v>0.82</v>
      </c>
      <c r="M5">
        <v>0.35</v>
      </c>
      <c r="N5">
        <v>0.14000000000000001</v>
      </c>
      <c r="O5">
        <v>0.55000000000000004</v>
      </c>
      <c r="P5">
        <v>0.26</v>
      </c>
      <c r="Q5">
        <v>0.18</v>
      </c>
      <c r="R5">
        <v>0.55000000000000004</v>
      </c>
      <c r="S5">
        <v>0.7</v>
      </c>
      <c r="T5">
        <v>0.36</v>
      </c>
    </row>
    <row r="6" spans="1:20" x14ac:dyDescent="0.25">
      <c r="A6" t="s">
        <v>219</v>
      </c>
      <c r="C6" t="s">
        <v>219</v>
      </c>
      <c r="D6">
        <v>22.2</v>
      </c>
      <c r="E6">
        <v>3.2</v>
      </c>
      <c r="F6">
        <v>4</v>
      </c>
      <c r="G6">
        <v>2</v>
      </c>
      <c r="H6">
        <v>1.32</v>
      </c>
      <c r="I6">
        <v>1.04</v>
      </c>
      <c r="J6">
        <v>0.65</v>
      </c>
      <c r="K6">
        <v>1.56</v>
      </c>
      <c r="L6">
        <v>0.92</v>
      </c>
      <c r="M6">
        <v>0.56000000000000005</v>
      </c>
      <c r="N6">
        <v>0.23</v>
      </c>
      <c r="O6">
        <v>0.89</v>
      </c>
      <c r="P6">
        <v>0.36</v>
      </c>
      <c r="Q6">
        <v>0.25</v>
      </c>
      <c r="R6">
        <v>0.65</v>
      </c>
      <c r="S6">
        <v>0.82</v>
      </c>
      <c r="T6">
        <v>0.42</v>
      </c>
    </row>
    <row r="7" spans="1:20" x14ac:dyDescent="0.25">
      <c r="A7" t="s">
        <v>220</v>
      </c>
      <c r="C7" t="s">
        <v>220</v>
      </c>
      <c r="D7">
        <v>25.4</v>
      </c>
      <c r="E7">
        <v>3.2</v>
      </c>
      <c r="F7">
        <v>4</v>
      </c>
      <c r="G7">
        <v>2</v>
      </c>
      <c r="H7">
        <v>1.51</v>
      </c>
      <c r="I7">
        <v>1.19</v>
      </c>
      <c r="J7">
        <v>0.73</v>
      </c>
      <c r="K7">
        <v>1.77</v>
      </c>
      <c r="L7">
        <v>1.03</v>
      </c>
      <c r="M7">
        <v>0.84</v>
      </c>
      <c r="N7">
        <v>0.34</v>
      </c>
      <c r="O7">
        <v>1.34</v>
      </c>
      <c r="P7">
        <v>0.48</v>
      </c>
      <c r="Q7">
        <v>0.34</v>
      </c>
      <c r="R7">
        <v>0.75</v>
      </c>
      <c r="S7">
        <v>0.94</v>
      </c>
      <c r="T7">
        <v>0.48</v>
      </c>
    </row>
    <row r="8" spans="1:20" x14ac:dyDescent="0.25">
      <c r="A8" t="s">
        <v>221</v>
      </c>
      <c r="C8" t="s">
        <v>222</v>
      </c>
      <c r="D8">
        <v>31.8</v>
      </c>
      <c r="E8">
        <v>3.2</v>
      </c>
      <c r="F8">
        <v>5</v>
      </c>
      <c r="G8">
        <v>2.5</v>
      </c>
      <c r="H8">
        <v>1.97</v>
      </c>
      <c r="I8">
        <v>1.55</v>
      </c>
      <c r="J8">
        <v>0.89</v>
      </c>
      <c r="K8">
        <v>2.2599999999999998</v>
      </c>
      <c r="L8">
        <v>1.26</v>
      </c>
      <c r="M8">
        <v>1.83</v>
      </c>
      <c r="N8">
        <v>0.72</v>
      </c>
      <c r="O8">
        <v>2.93</v>
      </c>
      <c r="P8">
        <v>0.79</v>
      </c>
      <c r="Q8">
        <v>0.56999999999999995</v>
      </c>
      <c r="R8">
        <v>0.96</v>
      </c>
      <c r="S8">
        <v>1.22</v>
      </c>
      <c r="T8">
        <v>0.61</v>
      </c>
    </row>
    <row r="9" spans="1:20" x14ac:dyDescent="0.25">
      <c r="A9" t="s">
        <v>222</v>
      </c>
      <c r="C9" t="s">
        <v>221</v>
      </c>
      <c r="D9">
        <v>25.4</v>
      </c>
      <c r="E9">
        <v>4.8</v>
      </c>
      <c r="F9">
        <v>4</v>
      </c>
      <c r="G9">
        <v>2</v>
      </c>
      <c r="H9">
        <v>2.19</v>
      </c>
      <c r="I9">
        <v>1.72</v>
      </c>
      <c r="J9">
        <v>0.79</v>
      </c>
      <c r="K9">
        <v>1.77</v>
      </c>
      <c r="L9">
        <v>1.1100000000000001</v>
      </c>
      <c r="M9">
        <v>1.17</v>
      </c>
      <c r="N9">
        <v>0.5</v>
      </c>
      <c r="O9">
        <v>1.84</v>
      </c>
      <c r="P9">
        <v>0.68</v>
      </c>
      <c r="Q9">
        <v>0.45</v>
      </c>
      <c r="R9">
        <v>0.73</v>
      </c>
      <c r="S9">
        <v>0.92</v>
      </c>
      <c r="T9">
        <v>0.48</v>
      </c>
    </row>
    <row r="10" spans="1:20" x14ac:dyDescent="0.25">
      <c r="A10" t="s">
        <v>223</v>
      </c>
      <c r="C10" t="s">
        <v>224</v>
      </c>
      <c r="D10">
        <v>38.1</v>
      </c>
      <c r="E10">
        <v>3.2</v>
      </c>
      <c r="F10">
        <v>6</v>
      </c>
      <c r="G10">
        <v>3</v>
      </c>
      <c r="H10">
        <v>2.37</v>
      </c>
      <c r="I10">
        <v>1.86</v>
      </c>
      <c r="J10">
        <v>1.03</v>
      </c>
      <c r="K10">
        <v>2.69</v>
      </c>
      <c r="L10">
        <v>1.46</v>
      </c>
      <c r="M10">
        <v>3.11</v>
      </c>
      <c r="N10">
        <v>1.2</v>
      </c>
      <c r="O10">
        <v>5.0199999999999996</v>
      </c>
      <c r="P10">
        <v>1.1200000000000001</v>
      </c>
      <c r="Q10">
        <v>0.82</v>
      </c>
      <c r="R10">
        <v>1.1499999999999999</v>
      </c>
      <c r="S10">
        <v>1.46</v>
      </c>
      <c r="T10">
        <v>0.71</v>
      </c>
    </row>
    <row r="11" spans="1:20" x14ac:dyDescent="0.25">
      <c r="A11" t="s">
        <v>224</v>
      </c>
      <c r="C11" t="s">
        <v>227</v>
      </c>
      <c r="D11">
        <v>44.5</v>
      </c>
      <c r="E11">
        <v>3.2</v>
      </c>
      <c r="F11">
        <v>7</v>
      </c>
      <c r="G11">
        <v>3.5</v>
      </c>
      <c r="H11">
        <v>2.83</v>
      </c>
      <c r="I11">
        <v>2.2200000000000002</v>
      </c>
      <c r="J11">
        <v>1.19</v>
      </c>
      <c r="K11">
        <v>3.18</v>
      </c>
      <c r="L11">
        <v>1.68</v>
      </c>
      <c r="M11">
        <v>5.24</v>
      </c>
      <c r="N11">
        <v>1.98</v>
      </c>
      <c r="O11">
        <v>8.5</v>
      </c>
      <c r="P11">
        <v>1.58</v>
      </c>
      <c r="Q11">
        <v>1.18</v>
      </c>
      <c r="R11">
        <v>1.36</v>
      </c>
      <c r="S11">
        <v>1.73</v>
      </c>
      <c r="T11">
        <v>0.84</v>
      </c>
    </row>
    <row r="12" spans="1:20" x14ac:dyDescent="0.25">
      <c r="A12" t="s">
        <v>225</v>
      </c>
      <c r="C12" t="s">
        <v>223</v>
      </c>
      <c r="D12">
        <v>31.8</v>
      </c>
      <c r="E12">
        <v>4.8</v>
      </c>
      <c r="F12">
        <v>5</v>
      </c>
      <c r="G12">
        <v>2.5</v>
      </c>
      <c r="H12">
        <v>2.87</v>
      </c>
      <c r="I12">
        <v>2.25</v>
      </c>
      <c r="J12">
        <v>0.96</v>
      </c>
      <c r="K12">
        <v>2.2599999999999998</v>
      </c>
      <c r="L12">
        <v>1.35</v>
      </c>
      <c r="M12">
        <v>2.58</v>
      </c>
      <c r="N12">
        <v>1.06</v>
      </c>
      <c r="O12">
        <v>4.0999999999999996</v>
      </c>
      <c r="P12">
        <v>1.1499999999999999</v>
      </c>
      <c r="Q12">
        <v>0.78</v>
      </c>
      <c r="R12">
        <v>0.95</v>
      </c>
      <c r="S12">
        <v>1.2</v>
      </c>
      <c r="T12">
        <v>0.61</v>
      </c>
    </row>
    <row r="13" spans="1:20" x14ac:dyDescent="0.25">
      <c r="A13" t="s">
        <v>226</v>
      </c>
      <c r="C13" t="s">
        <v>230</v>
      </c>
      <c r="D13">
        <v>50.8</v>
      </c>
      <c r="E13">
        <v>3.2</v>
      </c>
      <c r="F13">
        <v>7</v>
      </c>
      <c r="G13">
        <v>3.5</v>
      </c>
      <c r="H13">
        <v>3.21</v>
      </c>
      <c r="I13">
        <v>2.52</v>
      </c>
      <c r="J13">
        <v>1.34</v>
      </c>
      <c r="K13">
        <v>3.16</v>
      </c>
      <c r="L13">
        <v>1.89</v>
      </c>
      <c r="M13">
        <v>7.76</v>
      </c>
      <c r="N13">
        <v>2.95</v>
      </c>
      <c r="O13">
        <v>12.58</v>
      </c>
      <c r="P13">
        <v>2.0699999999999998</v>
      </c>
      <c r="Q13">
        <v>1.56</v>
      </c>
      <c r="R13">
        <v>1.55</v>
      </c>
      <c r="S13">
        <v>1.98</v>
      </c>
      <c r="T13">
        <v>0.96</v>
      </c>
    </row>
    <row r="14" spans="1:20" x14ac:dyDescent="0.25">
      <c r="A14" t="s">
        <v>227</v>
      </c>
      <c r="C14" t="s">
        <v>225</v>
      </c>
      <c r="D14">
        <v>38.1</v>
      </c>
      <c r="E14">
        <v>4.8</v>
      </c>
      <c r="F14">
        <v>6</v>
      </c>
      <c r="G14">
        <v>3</v>
      </c>
      <c r="H14">
        <v>3.46</v>
      </c>
      <c r="I14">
        <v>2.71</v>
      </c>
      <c r="J14">
        <v>1.1000000000000001</v>
      </c>
      <c r="K14">
        <v>2.69</v>
      </c>
      <c r="L14">
        <v>1.56</v>
      </c>
      <c r="M14">
        <v>4.45</v>
      </c>
      <c r="N14">
        <v>1.78</v>
      </c>
      <c r="O14">
        <v>7.12</v>
      </c>
      <c r="P14">
        <v>1.65</v>
      </c>
      <c r="Q14">
        <v>1.1399999999999999</v>
      </c>
      <c r="R14">
        <v>1.1299999999999999</v>
      </c>
      <c r="S14">
        <v>1.44</v>
      </c>
      <c r="T14">
        <v>0.72</v>
      </c>
    </row>
    <row r="15" spans="1:20" x14ac:dyDescent="0.25">
      <c r="A15" t="s">
        <v>228</v>
      </c>
      <c r="C15" t="s">
        <v>228</v>
      </c>
      <c r="D15">
        <v>44.5</v>
      </c>
      <c r="E15">
        <v>4.8</v>
      </c>
      <c r="F15">
        <v>7</v>
      </c>
      <c r="G15">
        <v>3.5</v>
      </c>
      <c r="H15">
        <v>4.1399999999999997</v>
      </c>
      <c r="I15">
        <v>3.25</v>
      </c>
      <c r="J15">
        <v>1.27</v>
      </c>
      <c r="K15">
        <v>3.18</v>
      </c>
      <c r="L15">
        <v>1.79</v>
      </c>
      <c r="M15">
        <v>7.57</v>
      </c>
      <c r="N15">
        <v>2.97</v>
      </c>
      <c r="O15">
        <v>12.17</v>
      </c>
      <c r="P15">
        <v>2.34</v>
      </c>
      <c r="Q15">
        <v>1.66</v>
      </c>
      <c r="R15">
        <v>1.35</v>
      </c>
      <c r="S15">
        <v>1.71</v>
      </c>
      <c r="T15">
        <v>0.85</v>
      </c>
    </row>
    <row r="16" spans="1:20" x14ac:dyDescent="0.25">
      <c r="A16" t="s">
        <v>229</v>
      </c>
      <c r="C16" t="s">
        <v>226</v>
      </c>
      <c r="D16">
        <v>38.1</v>
      </c>
      <c r="E16">
        <v>6.4</v>
      </c>
      <c r="F16">
        <v>6</v>
      </c>
      <c r="G16">
        <v>3</v>
      </c>
      <c r="H16">
        <v>4.49</v>
      </c>
      <c r="I16">
        <v>3.53</v>
      </c>
      <c r="J16">
        <v>1.17</v>
      </c>
      <c r="K16">
        <v>2.69</v>
      </c>
      <c r="L16">
        <v>1.65</v>
      </c>
      <c r="M16">
        <v>5.63</v>
      </c>
      <c r="N16">
        <v>2.33</v>
      </c>
      <c r="O16">
        <v>8.93</v>
      </c>
      <c r="P16">
        <v>2.14</v>
      </c>
      <c r="Q16">
        <v>1.42</v>
      </c>
      <c r="R16">
        <v>1.1200000000000001</v>
      </c>
      <c r="S16">
        <v>1.41</v>
      </c>
      <c r="T16">
        <v>0.72</v>
      </c>
    </row>
    <row r="17" spans="1:20" x14ac:dyDescent="0.25">
      <c r="A17" t="s">
        <v>230</v>
      </c>
      <c r="C17" t="s">
        <v>231</v>
      </c>
      <c r="D17">
        <v>50.8</v>
      </c>
      <c r="E17">
        <v>4.8</v>
      </c>
      <c r="F17">
        <v>7</v>
      </c>
      <c r="G17">
        <v>3.5</v>
      </c>
      <c r="H17">
        <v>4.72</v>
      </c>
      <c r="I17">
        <v>3.7</v>
      </c>
      <c r="J17">
        <v>1.42</v>
      </c>
      <c r="K17">
        <v>3.61</v>
      </c>
      <c r="L17">
        <v>2</v>
      </c>
      <c r="M17">
        <v>11.26</v>
      </c>
      <c r="N17">
        <v>4.41</v>
      </c>
      <c r="O17">
        <v>18.12</v>
      </c>
      <c r="P17">
        <v>3.06</v>
      </c>
      <c r="Q17">
        <v>2.2000000000000002</v>
      </c>
      <c r="R17">
        <v>1.54</v>
      </c>
      <c r="S17">
        <v>1.96</v>
      </c>
      <c r="T17">
        <v>0.97</v>
      </c>
    </row>
    <row r="18" spans="1:20" x14ac:dyDescent="0.25">
      <c r="A18" t="s">
        <v>231</v>
      </c>
      <c r="C18" t="s">
        <v>233</v>
      </c>
      <c r="D18">
        <v>57.2</v>
      </c>
      <c r="E18">
        <v>4.8</v>
      </c>
      <c r="F18">
        <v>8</v>
      </c>
      <c r="G18">
        <v>4</v>
      </c>
      <c r="H18">
        <v>5.31</v>
      </c>
      <c r="I18">
        <v>4.17</v>
      </c>
      <c r="J18">
        <v>1.56</v>
      </c>
      <c r="K18">
        <v>4.03</v>
      </c>
      <c r="L18">
        <v>2.2000000000000002</v>
      </c>
      <c r="M18">
        <v>15.88</v>
      </c>
      <c r="N18">
        <v>6.13</v>
      </c>
      <c r="O18">
        <v>25.64</v>
      </c>
      <c r="P18">
        <v>3.84</v>
      </c>
      <c r="Q18">
        <v>2.79</v>
      </c>
      <c r="R18">
        <v>1.73</v>
      </c>
      <c r="S18">
        <v>2.2000000000000002</v>
      </c>
      <c r="T18">
        <v>1.07</v>
      </c>
    </row>
    <row r="19" spans="1:20" x14ac:dyDescent="0.25">
      <c r="A19" t="s">
        <v>232</v>
      </c>
      <c r="C19" t="s">
        <v>229</v>
      </c>
      <c r="D19">
        <v>44.5</v>
      </c>
      <c r="E19">
        <v>6.4</v>
      </c>
      <c r="F19">
        <v>7</v>
      </c>
      <c r="G19">
        <v>3.5</v>
      </c>
      <c r="H19">
        <v>5.4</v>
      </c>
      <c r="I19">
        <v>4.24</v>
      </c>
      <c r="J19">
        <v>1.34</v>
      </c>
      <c r="K19">
        <v>3.18</v>
      </c>
      <c r="L19">
        <v>1.88</v>
      </c>
      <c r="M19">
        <v>9.67</v>
      </c>
      <c r="N19">
        <v>3.9</v>
      </c>
      <c r="O19">
        <v>15.43</v>
      </c>
      <c r="P19">
        <v>3.06</v>
      </c>
      <c r="Q19">
        <v>2.0699999999999998</v>
      </c>
      <c r="R19">
        <v>1.34</v>
      </c>
      <c r="S19">
        <v>1.69</v>
      </c>
      <c r="T19">
        <v>0.85</v>
      </c>
    </row>
    <row r="20" spans="1:20" x14ac:dyDescent="0.25">
      <c r="A20" t="s">
        <v>233</v>
      </c>
      <c r="C20" t="s">
        <v>235</v>
      </c>
      <c r="D20">
        <v>63.5</v>
      </c>
      <c r="E20">
        <v>4.8</v>
      </c>
      <c r="F20">
        <v>9</v>
      </c>
      <c r="G20">
        <v>4.5</v>
      </c>
      <c r="H20">
        <v>6</v>
      </c>
      <c r="I20">
        <v>4.71</v>
      </c>
      <c r="J20">
        <v>1.72</v>
      </c>
      <c r="K20">
        <v>4.53</v>
      </c>
      <c r="L20">
        <v>2.4300000000000002</v>
      </c>
      <c r="M20">
        <v>22.7</v>
      </c>
      <c r="N20">
        <v>8.65</v>
      </c>
      <c r="O20">
        <v>36.76</v>
      </c>
      <c r="P20">
        <v>4.8499999999999996</v>
      </c>
      <c r="Q20">
        <v>3.56</v>
      </c>
      <c r="R20">
        <v>1.95</v>
      </c>
      <c r="S20">
        <v>2.48</v>
      </c>
      <c r="T20">
        <v>1.2</v>
      </c>
    </row>
    <row r="21" spans="1:20" x14ac:dyDescent="0.25">
      <c r="A21" t="s">
        <v>234</v>
      </c>
      <c r="C21" t="s">
        <v>232</v>
      </c>
      <c r="D21">
        <v>50.8</v>
      </c>
      <c r="E21">
        <v>6.4</v>
      </c>
      <c r="F21">
        <v>7</v>
      </c>
      <c r="G21">
        <v>3.5</v>
      </c>
      <c r="H21">
        <v>6.17</v>
      </c>
      <c r="I21">
        <v>4.84</v>
      </c>
      <c r="J21">
        <v>1.49</v>
      </c>
      <c r="K21">
        <v>3.61</v>
      </c>
      <c r="L21">
        <v>2.1</v>
      </c>
      <c r="M21">
        <v>14.45</v>
      </c>
      <c r="N21">
        <v>5.8</v>
      </c>
      <c r="O21">
        <v>23.1</v>
      </c>
      <c r="P21">
        <v>4</v>
      </c>
      <c r="Q21">
        <v>2.77</v>
      </c>
      <c r="R21">
        <v>1.53</v>
      </c>
      <c r="S21">
        <v>1.93</v>
      </c>
      <c r="T21">
        <v>0.97</v>
      </c>
    </row>
    <row r="22" spans="1:20" x14ac:dyDescent="0.25">
      <c r="A22" t="s">
        <v>235</v>
      </c>
      <c r="C22" t="s">
        <v>234</v>
      </c>
      <c r="D22">
        <v>57.2</v>
      </c>
      <c r="E22">
        <v>6.4</v>
      </c>
      <c r="F22">
        <v>8</v>
      </c>
      <c r="G22">
        <v>4</v>
      </c>
      <c r="H22">
        <v>6.96</v>
      </c>
      <c r="I22">
        <v>5.46</v>
      </c>
      <c r="J22">
        <v>1.63</v>
      </c>
      <c r="K22">
        <v>4.03</v>
      </c>
      <c r="L22">
        <v>2.2999999999999998</v>
      </c>
      <c r="M22">
        <v>20.49</v>
      </c>
      <c r="N22">
        <v>8.1</v>
      </c>
      <c r="O22">
        <v>32.869999999999997</v>
      </c>
      <c r="P22">
        <v>5.03</v>
      </c>
      <c r="Q22">
        <v>3.53</v>
      </c>
      <c r="R22">
        <v>1.72</v>
      </c>
      <c r="S22">
        <v>2.17</v>
      </c>
      <c r="T22">
        <v>1.08</v>
      </c>
    </row>
    <row r="23" spans="1:20" x14ac:dyDescent="0.25">
      <c r="A23" t="s">
        <v>236</v>
      </c>
      <c r="C23" t="s">
        <v>236</v>
      </c>
      <c r="D23">
        <v>63.5</v>
      </c>
      <c r="E23">
        <v>6.4</v>
      </c>
      <c r="F23">
        <v>9</v>
      </c>
      <c r="G23">
        <v>4.5</v>
      </c>
      <c r="H23">
        <v>7.87</v>
      </c>
      <c r="I23">
        <v>6.18</v>
      </c>
      <c r="J23">
        <v>1.8</v>
      </c>
      <c r="K23">
        <v>4.53</v>
      </c>
      <c r="L23">
        <v>2.5299999999999998</v>
      </c>
      <c r="M23">
        <v>29.43</v>
      </c>
      <c r="N23">
        <v>11.49</v>
      </c>
      <c r="O23">
        <v>47.37</v>
      </c>
      <c r="P23">
        <v>6.39</v>
      </c>
      <c r="Q23">
        <v>4.54</v>
      </c>
      <c r="R23">
        <v>1.93</v>
      </c>
      <c r="S23">
        <v>2.4500000000000002</v>
      </c>
      <c r="T23">
        <v>1.21</v>
      </c>
    </row>
    <row r="24" spans="1:20" x14ac:dyDescent="0.25">
      <c r="A24" t="s">
        <v>237</v>
      </c>
      <c r="C24" t="s">
        <v>237</v>
      </c>
      <c r="D24">
        <v>76.2</v>
      </c>
      <c r="E24">
        <v>6.4</v>
      </c>
      <c r="F24">
        <v>10</v>
      </c>
      <c r="G24">
        <v>5</v>
      </c>
      <c r="H24">
        <v>9.43</v>
      </c>
      <c r="I24">
        <v>7.4</v>
      </c>
      <c r="J24">
        <v>2.09</v>
      </c>
      <c r="K24">
        <v>5.37</v>
      </c>
      <c r="L24">
        <v>2.94</v>
      </c>
      <c r="M24">
        <v>50.39</v>
      </c>
      <c r="N24">
        <v>19.47</v>
      </c>
      <c r="O24">
        <v>81.3</v>
      </c>
      <c r="P24">
        <v>9.14</v>
      </c>
      <c r="Q24">
        <v>6.62</v>
      </c>
      <c r="R24">
        <v>2.31</v>
      </c>
      <c r="S24">
        <v>2.94</v>
      </c>
      <c r="T24">
        <v>1.44</v>
      </c>
    </row>
    <row r="25" spans="1:20" x14ac:dyDescent="0.25">
      <c r="A25" t="s">
        <v>238</v>
      </c>
      <c r="C25" t="s">
        <v>238</v>
      </c>
      <c r="D25">
        <v>76.2</v>
      </c>
      <c r="E25">
        <v>7.9</v>
      </c>
      <c r="F25">
        <v>10</v>
      </c>
      <c r="G25">
        <v>5</v>
      </c>
      <c r="H25">
        <v>11.49</v>
      </c>
      <c r="I25">
        <v>9.02</v>
      </c>
      <c r="J25">
        <v>2.15</v>
      </c>
      <c r="K25">
        <v>5.37</v>
      </c>
      <c r="L25">
        <v>3.03</v>
      </c>
      <c r="M25">
        <v>60.74</v>
      </c>
      <c r="N25">
        <v>23.89</v>
      </c>
      <c r="O25">
        <v>97.59</v>
      </c>
      <c r="P25">
        <v>11.15</v>
      </c>
      <c r="Q25">
        <v>7.88</v>
      </c>
      <c r="R25">
        <v>2.2999999999999998</v>
      </c>
      <c r="S25">
        <v>2.91</v>
      </c>
      <c r="T25">
        <v>1.44</v>
      </c>
    </row>
    <row r="26" spans="1:20" x14ac:dyDescent="0.25">
      <c r="A26" t="s">
        <v>239</v>
      </c>
      <c r="C26" t="s">
        <v>240</v>
      </c>
      <c r="D26">
        <v>88.9</v>
      </c>
      <c r="E26">
        <v>7.9</v>
      </c>
      <c r="F26">
        <v>11</v>
      </c>
      <c r="G26">
        <v>5.5</v>
      </c>
      <c r="H26">
        <v>13.57</v>
      </c>
      <c r="I26">
        <v>10.65</v>
      </c>
      <c r="J26">
        <v>2.4700000000000002</v>
      </c>
      <c r="K26">
        <v>6.29</v>
      </c>
      <c r="L26">
        <v>3.48</v>
      </c>
      <c r="M26">
        <v>99.66</v>
      </c>
      <c r="N26">
        <v>38.85</v>
      </c>
      <c r="O26">
        <v>160.47</v>
      </c>
      <c r="P26">
        <v>15.49</v>
      </c>
      <c r="Q26">
        <v>11.17</v>
      </c>
      <c r="R26">
        <v>2.71</v>
      </c>
      <c r="S26">
        <v>3.44</v>
      </c>
      <c r="T26">
        <v>1.69</v>
      </c>
    </row>
    <row r="27" spans="1:20" x14ac:dyDescent="0.25">
      <c r="A27" t="s">
        <v>240</v>
      </c>
      <c r="C27" t="s">
        <v>239</v>
      </c>
      <c r="D27">
        <v>76.2</v>
      </c>
      <c r="E27">
        <v>9.5</v>
      </c>
      <c r="F27">
        <v>10</v>
      </c>
      <c r="G27">
        <v>5</v>
      </c>
      <c r="H27">
        <v>13.64</v>
      </c>
      <c r="I27">
        <v>10.71</v>
      </c>
      <c r="J27">
        <v>2.2200000000000002</v>
      </c>
      <c r="K27">
        <v>5.37</v>
      </c>
      <c r="L27">
        <v>3.12</v>
      </c>
      <c r="M27">
        <v>71.150000000000006</v>
      </c>
      <c r="N27">
        <v>28.47</v>
      </c>
      <c r="O27">
        <v>113.82</v>
      </c>
      <c r="P27">
        <v>13.21</v>
      </c>
      <c r="Q27">
        <v>9.11</v>
      </c>
      <c r="R27">
        <v>2.2799999999999998</v>
      </c>
      <c r="S27">
        <v>2.89</v>
      </c>
      <c r="T27">
        <v>1.44</v>
      </c>
    </row>
    <row r="28" spans="1:20" x14ac:dyDescent="0.25">
      <c r="A28" t="s">
        <v>241</v>
      </c>
      <c r="C28" t="s">
        <v>242</v>
      </c>
      <c r="D28">
        <v>101.6</v>
      </c>
      <c r="E28">
        <v>7.9</v>
      </c>
      <c r="F28">
        <v>12</v>
      </c>
      <c r="G28">
        <v>6</v>
      </c>
      <c r="H28">
        <v>15.65</v>
      </c>
      <c r="I28">
        <v>12.28</v>
      </c>
      <c r="J28">
        <v>2.78</v>
      </c>
      <c r="K28">
        <v>7.21</v>
      </c>
      <c r="L28">
        <v>3.92</v>
      </c>
      <c r="M28">
        <v>152.41</v>
      </c>
      <c r="N28">
        <v>59</v>
      </c>
      <c r="O28">
        <v>245.82</v>
      </c>
      <c r="P28">
        <v>20.54</v>
      </c>
      <c r="Q28">
        <v>15.04</v>
      </c>
      <c r="R28">
        <v>3.12</v>
      </c>
      <c r="S28">
        <v>3.96</v>
      </c>
      <c r="T28">
        <v>1.94</v>
      </c>
    </row>
    <row r="29" spans="1:20" x14ac:dyDescent="0.25">
      <c r="A29" t="s">
        <v>242</v>
      </c>
      <c r="C29" t="s">
        <v>241</v>
      </c>
      <c r="D29">
        <v>88.9</v>
      </c>
      <c r="E29">
        <v>9.5</v>
      </c>
      <c r="F29">
        <v>11</v>
      </c>
      <c r="G29">
        <v>5.5</v>
      </c>
      <c r="H29">
        <v>16.14</v>
      </c>
      <c r="I29">
        <v>12.67</v>
      </c>
      <c r="J29">
        <v>2.5299999999999998</v>
      </c>
      <c r="K29">
        <v>6.29</v>
      </c>
      <c r="L29">
        <v>3.57</v>
      </c>
      <c r="M29">
        <v>117.2</v>
      </c>
      <c r="N29">
        <v>46.37</v>
      </c>
      <c r="O29">
        <v>188.04</v>
      </c>
      <c r="P29">
        <v>18.41</v>
      </c>
      <c r="Q29">
        <v>12.98</v>
      </c>
      <c r="R29">
        <v>2.69</v>
      </c>
      <c r="S29">
        <v>3.41</v>
      </c>
      <c r="T29">
        <v>1.7</v>
      </c>
    </row>
    <row r="30" spans="1:20" x14ac:dyDescent="0.25">
      <c r="A30" t="s">
        <v>243</v>
      </c>
      <c r="C30" t="s">
        <v>243</v>
      </c>
      <c r="D30">
        <v>101.6</v>
      </c>
      <c r="E30">
        <v>9.5</v>
      </c>
      <c r="F30">
        <v>12</v>
      </c>
      <c r="G30">
        <v>6</v>
      </c>
      <c r="H30">
        <v>18.63</v>
      </c>
      <c r="I30">
        <v>14.63</v>
      </c>
      <c r="J30">
        <v>2.85</v>
      </c>
      <c r="K30">
        <v>7.21</v>
      </c>
      <c r="L30">
        <v>4.0199999999999996</v>
      </c>
      <c r="M30">
        <v>179.81</v>
      </c>
      <c r="N30">
        <v>70.56</v>
      </c>
      <c r="O30">
        <v>289.07</v>
      </c>
      <c r="P30">
        <v>24.47</v>
      </c>
      <c r="Q30">
        <v>17.55</v>
      </c>
      <c r="R30">
        <v>3.11</v>
      </c>
      <c r="S30">
        <v>3.94</v>
      </c>
      <c r="T30">
        <v>1.95</v>
      </c>
    </row>
    <row r="31" spans="1:20" x14ac:dyDescent="0.25">
      <c r="A31" t="s">
        <v>244</v>
      </c>
      <c r="C31" t="s">
        <v>244</v>
      </c>
      <c r="D31">
        <v>101.6</v>
      </c>
      <c r="E31">
        <v>12.7</v>
      </c>
      <c r="F31">
        <v>12</v>
      </c>
      <c r="G31">
        <v>6</v>
      </c>
      <c r="H31">
        <v>24.45</v>
      </c>
      <c r="I31">
        <v>19.190000000000001</v>
      </c>
      <c r="J31">
        <v>2.98</v>
      </c>
      <c r="K31">
        <v>7.21</v>
      </c>
      <c r="L31">
        <v>4.2</v>
      </c>
      <c r="M31">
        <v>230.95</v>
      </c>
      <c r="N31">
        <v>92.84</v>
      </c>
      <c r="O31">
        <v>269.07</v>
      </c>
      <c r="P31">
        <v>31.99</v>
      </c>
      <c r="Q31">
        <v>22.09</v>
      </c>
      <c r="R31">
        <v>3.07</v>
      </c>
      <c r="S31">
        <v>3.89</v>
      </c>
      <c r="T31">
        <v>1.95</v>
      </c>
    </row>
    <row r="32" spans="1:20" x14ac:dyDescent="0.25">
      <c r="C32" t="s">
        <v>209</v>
      </c>
      <c r="D32" t="s">
        <v>210</v>
      </c>
      <c r="E32" t="s">
        <v>210</v>
      </c>
      <c r="F32" t="s">
        <v>210</v>
      </c>
      <c r="H32" t="s">
        <v>211</v>
      </c>
      <c r="I32" t="s">
        <v>212</v>
      </c>
      <c r="J32" t="s">
        <v>213</v>
      </c>
      <c r="M32" t="s">
        <v>214</v>
      </c>
      <c r="P32" t="s">
        <v>215</v>
      </c>
      <c r="R32" t="s">
        <v>213</v>
      </c>
    </row>
    <row r="33" spans="3:20" x14ac:dyDescent="0.25">
      <c r="D33" t="s">
        <v>70</v>
      </c>
      <c r="E33" t="s">
        <v>195</v>
      </c>
      <c r="F33" t="s">
        <v>175</v>
      </c>
      <c r="G33" t="s">
        <v>196</v>
      </c>
      <c r="H33" t="s">
        <v>46</v>
      </c>
      <c r="I33" t="s">
        <v>197</v>
      </c>
      <c r="J33" t="s">
        <v>198</v>
      </c>
      <c r="K33" t="s">
        <v>199</v>
      </c>
      <c r="L33" t="s">
        <v>200</v>
      </c>
      <c r="M33" t="s">
        <v>201</v>
      </c>
      <c r="N33" t="s">
        <v>202</v>
      </c>
      <c r="O33" t="s">
        <v>203</v>
      </c>
      <c r="P33" t="s">
        <v>204</v>
      </c>
      <c r="Q33" t="s">
        <v>205</v>
      </c>
      <c r="R33" t="s">
        <v>206</v>
      </c>
      <c r="S33" t="s">
        <v>207</v>
      </c>
      <c r="T33" t="s">
        <v>208</v>
      </c>
    </row>
    <row r="35" spans="3:20" x14ac:dyDescent="0.25"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  <c r="N35">
        <v>12</v>
      </c>
      <c r="O35">
        <v>13</v>
      </c>
      <c r="P35">
        <v>14</v>
      </c>
      <c r="Q35">
        <v>15</v>
      </c>
      <c r="R35">
        <v>16</v>
      </c>
      <c r="S35">
        <v>17</v>
      </c>
      <c r="T35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5" x14ac:dyDescent="0.25"/>
  <cols>
    <col min="1" max="1" width="17.28515625" customWidth="1"/>
    <col min="2" max="2" width="12.85546875" bestFit="1" customWidth="1"/>
    <col min="3" max="3" width="11.28515625" bestFit="1" customWidth="1"/>
    <col min="4" max="4" width="15.7109375" bestFit="1" customWidth="1"/>
  </cols>
  <sheetData>
    <row r="1" spans="1:15" ht="18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25">
      <c r="A2" s="145" t="s">
        <v>106</v>
      </c>
      <c r="B2" s="145" t="s">
        <v>163</v>
      </c>
      <c r="C2" s="147" t="s">
        <v>164</v>
      </c>
      <c r="D2" s="147" t="s">
        <v>165</v>
      </c>
      <c r="E2" s="145" t="s">
        <v>107</v>
      </c>
      <c r="F2" s="145" t="s">
        <v>108</v>
      </c>
      <c r="G2" s="145" t="s">
        <v>109</v>
      </c>
      <c r="H2" s="145" t="s">
        <v>110</v>
      </c>
      <c r="I2" s="146" t="s">
        <v>111</v>
      </c>
      <c r="J2" s="146"/>
      <c r="K2" s="146"/>
      <c r="L2" s="146"/>
      <c r="M2" s="146"/>
      <c r="N2" s="146"/>
      <c r="O2" s="146"/>
    </row>
    <row r="3" spans="1:15" x14ac:dyDescent="0.25">
      <c r="A3" s="145"/>
      <c r="B3" s="145"/>
      <c r="C3" s="148"/>
      <c r="D3" s="148"/>
      <c r="E3" s="145"/>
      <c r="F3" s="145"/>
      <c r="G3" s="145"/>
      <c r="H3" s="145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x14ac:dyDescent="0.25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25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25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25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25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25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25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25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25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25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25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25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25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25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25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25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25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25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25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25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25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25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25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25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25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25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25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25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25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25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25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25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25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25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25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25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25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25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 Inf</vt:lpstr>
      <vt:lpstr>C Sup</vt:lpstr>
      <vt:lpstr>Diagonales</vt:lpstr>
      <vt:lpstr>Montante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USUARIO</cp:lastModifiedBy>
  <cp:lastPrinted>2023-03-21T17:38:35Z</cp:lastPrinted>
  <dcterms:created xsi:type="dcterms:W3CDTF">2015-06-05T18:17:20Z</dcterms:created>
  <dcterms:modified xsi:type="dcterms:W3CDTF">2023-05-19T15:20:29Z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