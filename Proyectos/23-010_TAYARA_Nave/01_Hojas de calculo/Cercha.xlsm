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Andres\Sigma\Proyectos\23-010_TAYARA_Nave\01_Hojas de calculo\"/>
    </mc:Choice>
  </mc:AlternateContent>
  <xr:revisionPtr revIDLastSave="0" documentId="13_ncr:1_{7FFA10F4-0273-45FB-89A9-963CB0374D0E}" xr6:coauthVersionLast="45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C Inf" sheetId="22" r:id="rId1"/>
    <sheet name="C Sup" sheetId="10" r:id="rId2"/>
    <sheet name="Diagonales" sheetId="13" r:id="rId3"/>
    <sheet name="Montante" sheetId="24" r:id="rId4"/>
    <sheet name="Angulo" sheetId="21" r:id="rId5"/>
    <sheet name="PERFILES C TERNIUM" sheetId="4" r:id="rId6"/>
  </sheets>
  <functionGroups builtInGroupCount="19"/>
  <definedNames>
    <definedName name="DatosExternos_1" localSheetId="4" hidden="1">Angulo!$C$1:$T$32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1" i="24" l="1"/>
  <c r="D30" i="24"/>
  <c r="F36" i="24" s="1"/>
  <c r="B30" i="24"/>
  <c r="D29" i="24"/>
  <c r="B29" i="24"/>
  <c r="D28" i="24"/>
  <c r="B28" i="24"/>
  <c r="D25" i="24"/>
  <c r="B25" i="24"/>
  <c r="D24" i="24"/>
  <c r="B24" i="24"/>
  <c r="F34" i="24" s="1"/>
  <c r="D23" i="24"/>
  <c r="E128" i="24" s="1"/>
  <c r="B23" i="24"/>
  <c r="C33" i="24" s="1"/>
  <c r="B55" i="24" s="1"/>
  <c r="C55" i="24" s="1"/>
  <c r="H19" i="24"/>
  <c r="H18" i="24"/>
  <c r="B59" i="24" s="1"/>
  <c r="H17" i="24"/>
  <c r="E64" i="24" s="1"/>
  <c r="F33" i="24" l="1"/>
  <c r="F35" i="24"/>
  <c r="C34" i="24"/>
  <c r="F37" i="24"/>
  <c r="J42" i="24" s="1"/>
  <c r="C35" i="24"/>
  <c r="F35" i="22"/>
  <c r="B31" i="22"/>
  <c r="D30" i="22"/>
  <c r="F36" i="22" s="1"/>
  <c r="B30" i="22"/>
  <c r="D29" i="22"/>
  <c r="B29" i="22"/>
  <c r="D28" i="22"/>
  <c r="B28" i="22"/>
  <c r="D25" i="22"/>
  <c r="B25" i="22"/>
  <c r="C35" i="22" s="1"/>
  <c r="D24" i="22"/>
  <c r="B24" i="22"/>
  <c r="F34" i="22" s="1"/>
  <c r="J40" i="22" s="1"/>
  <c r="D23" i="22"/>
  <c r="B23" i="22"/>
  <c r="F33" i="22" s="1"/>
  <c r="H19" i="22"/>
  <c r="H18" i="22"/>
  <c r="B59" i="22" s="1"/>
  <c r="H17" i="22"/>
  <c r="E64" i="22" s="1"/>
  <c r="J3" i="13"/>
  <c r="J2" i="13"/>
  <c r="E10" i="13" a="1"/>
  <c r="E5" i="13" a="1"/>
  <c r="E8" i="13" a="1"/>
  <c r="E25" i="13" a="1"/>
  <c r="E9" i="13" a="1"/>
  <c r="E13" i="13" a="1"/>
  <c r="E24" i="13" a="1"/>
  <c r="E16" i="13" a="1"/>
  <c r="E11" i="13" a="1"/>
  <c r="E6" i="13" a="1"/>
  <c r="E14" i="13" a="1"/>
  <c r="E7" i="13" a="1"/>
  <c r="E26" i="13" a="1"/>
  <c r="E23" i="13" a="1"/>
  <c r="E12" i="13" a="1"/>
  <c r="E22" i="13" a="1"/>
  <c r="E17" i="13" a="1"/>
  <c r="E18" i="13" a="1"/>
  <c r="E15" i="13" a="1"/>
  <c r="E19" i="13" a="1"/>
  <c r="E3" i="13" a="1"/>
  <c r="E21" i="13" a="1"/>
  <c r="E20" i="13" a="1"/>
  <c r="E4" i="13" a="1"/>
  <c r="K43" i="24" l="1"/>
  <c r="K44" i="24"/>
  <c r="J43" i="24"/>
  <c r="L43" i="24" s="1"/>
  <c r="B44" i="24" s="1"/>
  <c r="J41" i="24"/>
  <c r="C50" i="24"/>
  <c r="D50" i="24" s="1"/>
  <c r="J115" i="24"/>
  <c r="J114" i="24"/>
  <c r="D112" i="24"/>
  <c r="J116" i="24"/>
  <c r="J117" i="24" s="1"/>
  <c r="C51" i="24"/>
  <c r="D51" i="24" s="1"/>
  <c r="N116" i="24"/>
  <c r="E95" i="24"/>
  <c r="N120" i="24"/>
  <c r="J40" i="24"/>
  <c r="B43" i="24"/>
  <c r="K43" i="22"/>
  <c r="J43" i="22"/>
  <c r="J41" i="22"/>
  <c r="B41" i="22" s="1"/>
  <c r="B42" i="22" s="1"/>
  <c r="K44" i="22"/>
  <c r="J116" i="22"/>
  <c r="J117" i="22" s="1"/>
  <c r="C51" i="22"/>
  <c r="D51" i="22" s="1"/>
  <c r="N116" i="22"/>
  <c r="F37" i="22"/>
  <c r="J42" i="22" s="1"/>
  <c r="C33" i="22"/>
  <c r="B55" i="22" s="1"/>
  <c r="C55" i="22" s="1"/>
  <c r="E95" i="22"/>
  <c r="C34" i="22"/>
  <c r="E26" i="13"/>
  <c r="F26" i="13" s="1"/>
  <c r="E13" i="13"/>
  <c r="F13" i="13" s="1"/>
  <c r="E20" i="13"/>
  <c r="F20" i="13" s="1"/>
  <c r="E19" i="13"/>
  <c r="F19" i="13" s="1"/>
  <c r="E7" i="13"/>
  <c r="F7" i="13" s="1"/>
  <c r="E9" i="13"/>
  <c r="F9" i="13" s="1"/>
  <c r="E12" i="13"/>
  <c r="F12" i="13" s="1"/>
  <c r="E15" i="13"/>
  <c r="F15" i="13" s="1"/>
  <c r="E14" i="13"/>
  <c r="F14" i="13" s="1"/>
  <c r="E25" i="13"/>
  <c r="F25" i="13" s="1"/>
  <c r="E24" i="13"/>
  <c r="F24" i="13" s="1"/>
  <c r="E18" i="13"/>
  <c r="F18" i="13" s="1"/>
  <c r="E6" i="13"/>
  <c r="F6" i="13" s="1"/>
  <c r="E8" i="13"/>
  <c r="F8" i="13" s="1"/>
  <c r="E23" i="13"/>
  <c r="F23" i="13" s="1"/>
  <c r="E17" i="13"/>
  <c r="F17" i="13" s="1"/>
  <c r="E11" i="13"/>
  <c r="F11" i="13" s="1"/>
  <c r="E5" i="13"/>
  <c r="F5" i="13" s="1"/>
  <c r="E21" i="13"/>
  <c r="F21" i="13" s="1"/>
  <c r="E22" i="13"/>
  <c r="F22" i="13" s="1"/>
  <c r="E16" i="13"/>
  <c r="F16" i="13" s="1"/>
  <c r="E10" i="13"/>
  <c r="F10" i="13" s="1"/>
  <c r="E4" i="13"/>
  <c r="F4" i="13" s="1"/>
  <c r="E3" i="13"/>
  <c r="F3" i="13" s="1"/>
  <c r="B31" i="10"/>
  <c r="D30" i="10"/>
  <c r="F36" i="10" s="1"/>
  <c r="B30" i="10"/>
  <c r="D29" i="10"/>
  <c r="B29" i="10"/>
  <c r="D28" i="10"/>
  <c r="B28" i="10"/>
  <c r="D25" i="10"/>
  <c r="B25" i="10"/>
  <c r="D24" i="10"/>
  <c r="B24" i="10"/>
  <c r="F34" i="10" s="1"/>
  <c r="D23" i="10"/>
  <c r="B23" i="10"/>
  <c r="C33" i="10" s="1"/>
  <c r="B55" i="10" s="1"/>
  <c r="C55" i="10" s="1"/>
  <c r="H19" i="10"/>
  <c r="H18" i="10"/>
  <c r="B59" i="10" s="1"/>
  <c r="H17" i="10"/>
  <c r="B41" i="24" l="1"/>
  <c r="B42" i="24" s="1"/>
  <c r="K40" i="24"/>
  <c r="O122" i="24"/>
  <c r="O121" i="24"/>
  <c r="E67" i="22"/>
  <c r="J114" i="22"/>
  <c r="J115" i="22"/>
  <c r="D112" i="22"/>
  <c r="C50" i="22"/>
  <c r="D50" i="22" s="1"/>
  <c r="E128" i="22"/>
  <c r="N120" i="22"/>
  <c r="L43" i="22"/>
  <c r="B44" i="22" s="1"/>
  <c r="K40" i="22"/>
  <c r="B43" i="22"/>
  <c r="E64" i="10"/>
  <c r="E128" i="10"/>
  <c r="F33" i="10"/>
  <c r="F35" i="10"/>
  <c r="C34" i="10"/>
  <c r="F37" i="10"/>
  <c r="J42" i="10" s="1"/>
  <c r="C35" i="10"/>
  <c r="N116" i="10" s="1"/>
  <c r="E67" i="24" l="1"/>
  <c r="E70" i="24" s="1"/>
  <c r="O122" i="22"/>
  <c r="O121" i="22"/>
  <c r="E70" i="22"/>
  <c r="E73" i="22"/>
  <c r="B43" i="10"/>
  <c r="K43" i="10"/>
  <c r="K44" i="10"/>
  <c r="J43" i="10"/>
  <c r="J41" i="10"/>
  <c r="J40" i="10"/>
  <c r="J116" i="10"/>
  <c r="J117" i="10" s="1"/>
  <c r="C51" i="10"/>
  <c r="D51" i="10" s="1"/>
  <c r="E95" i="10"/>
  <c r="N120" i="10"/>
  <c r="C50" i="10"/>
  <c r="D50" i="10" s="1"/>
  <c r="J115" i="10"/>
  <c r="J114" i="10"/>
  <c r="D112" i="10"/>
  <c r="E73" i="24" l="1"/>
  <c r="E76" i="24" s="1"/>
  <c r="E81" i="24" s="1"/>
  <c r="B83" i="24" s="1"/>
  <c r="E76" i="22"/>
  <c r="E81" i="22" s="1"/>
  <c r="B83" i="22" s="1"/>
  <c r="L43" i="10"/>
  <c r="B44" i="10" s="1"/>
  <c r="O122" i="10"/>
  <c r="O121" i="10"/>
  <c r="B41" i="10"/>
  <c r="B42" i="10" s="1"/>
  <c r="K40" i="10"/>
  <c r="E85" i="24" l="1"/>
  <c r="C83" i="24"/>
  <c r="E85" i="22"/>
  <c r="C83" i="22"/>
  <c r="E67" i="10"/>
  <c r="E70" i="10" s="1"/>
  <c r="B91" i="24" l="1"/>
  <c r="E99" i="24" s="1"/>
  <c r="B108" i="24"/>
  <c r="B124" i="24"/>
  <c r="E132" i="24" s="1"/>
  <c r="B124" i="22"/>
  <c r="E132" i="22" s="1"/>
  <c r="B91" i="22"/>
  <c r="E99" i="22" s="1"/>
  <c r="B108" i="22"/>
  <c r="E73" i="10"/>
  <c r="E76" i="10" s="1"/>
  <c r="E81" i="10" s="1"/>
  <c r="B83" i="10" s="1"/>
  <c r="D135" i="24" l="1"/>
  <c r="L134" i="24"/>
  <c r="D110" i="24"/>
  <c r="D102" i="24"/>
  <c r="L101" i="24"/>
  <c r="D102" i="22"/>
  <c r="L101" i="22"/>
  <c r="D135" i="22"/>
  <c r="L134" i="22"/>
  <c r="D110" i="22"/>
  <c r="E85" i="10"/>
  <c r="C83" i="10"/>
  <c r="F112" i="24" l="1"/>
  <c r="P114" i="24"/>
  <c r="N114" i="24"/>
  <c r="N119" i="24"/>
  <c r="F102" i="24"/>
  <c r="E102" i="24"/>
  <c r="E135" i="24"/>
  <c r="F135" i="24"/>
  <c r="E102" i="22"/>
  <c r="F102" i="22"/>
  <c r="F112" i="22"/>
  <c r="N119" i="22"/>
  <c r="P114" i="22"/>
  <c r="N114" i="22"/>
  <c r="F135" i="22"/>
  <c r="E135" i="22"/>
  <c r="B91" i="10"/>
  <c r="E99" i="10" s="1"/>
  <c r="B108" i="10"/>
  <c r="B124" i="10"/>
  <c r="E132" i="10" s="1"/>
  <c r="N115" i="24" l="1"/>
  <c r="N117" i="24" s="1"/>
  <c r="L113" i="24"/>
  <c r="O114" i="24"/>
  <c r="D118" i="24"/>
  <c r="D119" i="24"/>
  <c r="D120" i="24"/>
  <c r="D117" i="24"/>
  <c r="E112" i="24"/>
  <c r="E115" i="24"/>
  <c r="D115" i="24"/>
  <c r="D114" i="24"/>
  <c r="N115" i="22"/>
  <c r="N117" i="22" s="1"/>
  <c r="L113" i="22"/>
  <c r="E115" i="22" s="1"/>
  <c r="O114" i="22"/>
  <c r="E112" i="22"/>
  <c r="D120" i="22"/>
  <c r="D115" i="22"/>
  <c r="D117" i="22"/>
  <c r="D118" i="22"/>
  <c r="D119" i="22"/>
  <c r="D114" i="22"/>
  <c r="D135" i="10"/>
  <c r="L134" i="10"/>
  <c r="D110" i="10"/>
  <c r="D102" i="10"/>
  <c r="L101" i="10"/>
  <c r="N121" i="24" l="1"/>
  <c r="L117" i="24"/>
  <c r="N122" i="24"/>
  <c r="N123" i="24" s="1"/>
  <c r="N124" i="24" s="1"/>
  <c r="N125" i="24" s="1"/>
  <c r="N121" i="22"/>
  <c r="L117" i="22"/>
  <c r="N122" i="22"/>
  <c r="N123" i="22" s="1"/>
  <c r="N124" i="22" s="1"/>
  <c r="N125" i="22" s="1"/>
  <c r="F112" i="10"/>
  <c r="P114" i="10"/>
  <c r="N114" i="10"/>
  <c r="N119" i="10"/>
  <c r="F102" i="10"/>
  <c r="E102" i="10"/>
  <c r="E135" i="10"/>
  <c r="F135" i="10"/>
  <c r="K114" i="24" l="1"/>
  <c r="D116" i="24" s="1"/>
  <c r="A137" i="24" s="1"/>
  <c r="N126" i="24"/>
  <c r="L114" i="24" s="1"/>
  <c r="M126" i="24"/>
  <c r="O126" i="24" s="1"/>
  <c r="F116" i="24"/>
  <c r="L118" i="24"/>
  <c r="E120" i="24" s="1"/>
  <c r="E119" i="24"/>
  <c r="K114" i="22"/>
  <c r="D116" i="22" s="1"/>
  <c r="A137" i="22" s="1"/>
  <c r="N126" i="22"/>
  <c r="L114" i="22" s="1"/>
  <c r="M126" i="22"/>
  <c r="O126" i="22" s="1"/>
  <c r="F116" i="22"/>
  <c r="L118" i="22"/>
  <c r="E120" i="22" s="1"/>
  <c r="E119" i="22"/>
  <c r="N115" i="10"/>
  <c r="N117" i="10" s="1"/>
  <c r="L113" i="10"/>
  <c r="O114" i="10"/>
  <c r="D120" i="10"/>
  <c r="D118" i="10"/>
  <c r="D119" i="10"/>
  <c r="D117" i="10"/>
  <c r="E112" i="10"/>
  <c r="E115" i="10"/>
  <c r="D115" i="10"/>
  <c r="D114" i="10"/>
  <c r="L115" i="24" l="1"/>
  <c r="E117" i="24" s="1"/>
  <c r="L116" i="24"/>
  <c r="E118" i="24" s="1"/>
  <c r="E116" i="24"/>
  <c r="E139" i="24" s="1"/>
  <c r="E143" i="24" s="1"/>
  <c r="L115" i="22"/>
  <c r="E117" i="22" s="1"/>
  <c r="E116" i="22"/>
  <c r="E139" i="22" s="1"/>
  <c r="E143" i="22" s="1"/>
  <c r="N121" i="10"/>
  <c r="L117" i="10"/>
  <c r="N122" i="10"/>
  <c r="N123" i="10" s="1"/>
  <c r="N124" i="10" s="1"/>
  <c r="N125" i="10" s="1"/>
  <c r="L116" i="22" l="1"/>
  <c r="E118" i="22" s="1"/>
  <c r="K114" i="10"/>
  <c r="D116" i="10" s="1"/>
  <c r="A137" i="10" s="1"/>
  <c r="N126" i="10"/>
  <c r="L114" i="10" s="1"/>
  <c r="M126" i="10"/>
  <c r="O126" i="10" s="1"/>
  <c r="F116" i="10"/>
  <c r="L118" i="10"/>
  <c r="E120" i="10" s="1"/>
  <c r="E119" i="10"/>
  <c r="L115" i="10" l="1"/>
  <c r="E117" i="10" s="1"/>
  <c r="E116" i="10"/>
  <c r="E139" i="10" s="1"/>
  <c r="E143" i="10" s="1"/>
  <c r="L116" i="10" l="1"/>
  <c r="E118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59C34F-9508-46BD-AD7F-1CEEECE07880}" keepAlive="1" name="Consulta - Angulo" description="Conexión a la consulta 'Angulo' en el libro." type="5" refreshedVersion="8" background="1" saveData="1">
    <dbPr connection="Provider=Microsoft.Mashup.OleDb.1;Data Source=$Workbook$;Location=Angulo;Extended Properties=&quot;&quot;" command="SELECT * FROM [Angulo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<sst xmlns="http://schemas.openxmlformats.org/spreadsheetml/2006/main" count="577" uniqueCount="251">
  <si>
    <t xml:space="preserve"> </t>
  </si>
  <si>
    <t>DATOS</t>
  </si>
  <si>
    <t>H</t>
  </si>
  <si>
    <t>B</t>
  </si>
  <si>
    <t>D</t>
  </si>
  <si>
    <t>t=R</t>
  </si>
  <si>
    <t>Fy</t>
  </si>
  <si>
    <t>E</t>
  </si>
  <si>
    <t>G</t>
  </si>
  <si>
    <t>µ</t>
  </si>
  <si>
    <t>Ix</t>
  </si>
  <si>
    <t>Iy</t>
  </si>
  <si>
    <t>Sx</t>
  </si>
  <si>
    <t>Sy</t>
  </si>
  <si>
    <t>rx</t>
  </si>
  <si>
    <t>ry</t>
  </si>
  <si>
    <t>SELECCIONE EL PERFIL</t>
  </si>
  <si>
    <t>α</t>
  </si>
  <si>
    <t>xg</t>
  </si>
  <si>
    <t>Ag</t>
  </si>
  <si>
    <r>
      <t>h =</t>
    </r>
    <r>
      <rPr>
        <sz val="10"/>
        <color theme="1"/>
        <rFont val="Arial"/>
        <family val="2"/>
      </rPr>
      <t xml:space="preserve"> H - 2(t + R)</t>
    </r>
  </si>
  <si>
    <r>
      <t xml:space="preserve">b = </t>
    </r>
    <r>
      <rPr>
        <sz val="10"/>
        <color theme="1"/>
        <rFont val="Arial"/>
        <family val="2"/>
      </rPr>
      <t>B - 2(t + R)</t>
    </r>
  </si>
  <si>
    <r>
      <t xml:space="preserve">d = </t>
    </r>
    <r>
      <rPr>
        <sz val="10"/>
        <color theme="1"/>
        <rFont val="Arial"/>
        <family val="2"/>
      </rPr>
      <t>D - (t + R)</t>
    </r>
  </si>
  <si>
    <r>
      <t xml:space="preserve">ha = </t>
    </r>
    <r>
      <rPr>
        <sz val="10"/>
        <color theme="1"/>
        <rFont val="Arial"/>
        <family val="2"/>
      </rPr>
      <t>H - t</t>
    </r>
  </si>
  <si>
    <r>
      <t>ba =</t>
    </r>
    <r>
      <rPr>
        <sz val="10"/>
        <color theme="1"/>
        <rFont val="Arial"/>
        <family val="2"/>
      </rPr>
      <t xml:space="preserve"> B - t</t>
    </r>
  </si>
  <si>
    <r>
      <t xml:space="preserve">da = </t>
    </r>
    <r>
      <rPr>
        <sz val="10"/>
        <color theme="1"/>
        <rFont val="Arial"/>
        <family val="2"/>
      </rPr>
      <t>D - t/2</t>
    </r>
  </si>
  <si>
    <t>Ala</t>
  </si>
  <si>
    <t>b/t</t>
  </si>
  <si>
    <t>Labio</t>
  </si>
  <si>
    <t>Art. B.1.1. (a)</t>
  </si>
  <si>
    <t xml:space="preserve">Relaciones máx entre ancho plano y espesor de elemento comprimidos </t>
  </si>
  <si>
    <t>d/t</t>
  </si>
  <si>
    <t>Máx relación entre altura del alma y su espesor</t>
  </si>
  <si>
    <t>h/t</t>
  </si>
  <si>
    <t>Art. B.1.2.</t>
  </si>
  <si>
    <t>1.- VERIFICACION RELACIONES DE ESBELTEZ</t>
  </si>
  <si>
    <t>Art. B.3.2. (a)</t>
  </si>
  <si>
    <t>k</t>
  </si>
  <si>
    <t>Exp. B.2.1-5</t>
  </si>
  <si>
    <t>Exp. B.2.1-4</t>
  </si>
  <si>
    <t>Fcr</t>
  </si>
  <si>
    <t>λ</t>
  </si>
  <si>
    <t>ρ</t>
  </si>
  <si>
    <t>Exp. B.2.1-3</t>
  </si>
  <si>
    <t>ELEMENTO 2 - TODO EFECTIVO POR SER PLIEGUE</t>
  </si>
  <si>
    <t>Art. B.4.2.</t>
  </si>
  <si>
    <t>S</t>
  </si>
  <si>
    <t>Exp. B.4-1</t>
  </si>
  <si>
    <t>0.328 S</t>
  </si>
  <si>
    <r>
      <t>Para b/t ≤</t>
    </r>
    <r>
      <rPr>
        <b/>
        <sz val="11"/>
        <color theme="1"/>
        <rFont val="Arial"/>
        <family val="2"/>
      </rPr>
      <t xml:space="preserve"> 0.328 S</t>
    </r>
  </si>
  <si>
    <t>Ia</t>
  </si>
  <si>
    <t>be=b</t>
  </si>
  <si>
    <t>ds=d's</t>
  </si>
  <si>
    <t>As=A's</t>
  </si>
  <si>
    <t>1er Termino</t>
  </si>
  <si>
    <t>2do Termino</t>
  </si>
  <si>
    <t>Is</t>
  </si>
  <si>
    <r>
      <t>R</t>
    </r>
    <r>
      <rPr>
        <vertAlign val="subscript"/>
        <sz val="10"/>
        <color theme="1"/>
        <rFont val="Arial"/>
        <family val="2"/>
      </rPr>
      <t>I</t>
    </r>
  </si>
  <si>
    <t>Calculos Aux. p/ b/t &gt; 0.328 S</t>
  </si>
  <si>
    <r>
      <t>be</t>
    </r>
    <r>
      <rPr>
        <vertAlign val="subscript"/>
        <sz val="10"/>
        <color theme="1"/>
        <rFont val="Arial"/>
        <family val="2"/>
      </rPr>
      <t>1</t>
    </r>
    <r>
      <rPr>
        <sz val="10"/>
        <color theme="1"/>
        <rFont val="Arial"/>
        <family val="2"/>
      </rPr>
      <t>=be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=b/2</t>
    </r>
  </si>
  <si>
    <t>Art. B.4.2. (a)</t>
  </si>
  <si>
    <t>n</t>
  </si>
  <si>
    <t>D/b</t>
  </si>
  <si>
    <t>p/ D/b ≤ 0.25</t>
  </si>
  <si>
    <r>
      <t>Para b/t &gt;</t>
    </r>
    <r>
      <rPr>
        <b/>
        <sz val="11"/>
        <rFont val="Arial"/>
        <family val="2"/>
      </rPr>
      <t xml:space="preserve"> 0.328 S</t>
    </r>
  </si>
  <si>
    <r>
      <t>be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=(be/2)*R</t>
    </r>
    <r>
      <rPr>
        <vertAlign val="subscript"/>
        <sz val="10"/>
        <rFont val="Arial"/>
        <family val="2"/>
      </rPr>
      <t>I</t>
    </r>
  </si>
  <si>
    <r>
      <t>be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=be-be</t>
    </r>
    <r>
      <rPr>
        <vertAlign val="subscript"/>
        <sz val="10"/>
        <rFont val="Arial"/>
        <family val="2"/>
      </rPr>
      <t>1</t>
    </r>
  </si>
  <si>
    <r>
      <t>ds=d's x R</t>
    </r>
    <r>
      <rPr>
        <vertAlign val="subscript"/>
        <sz val="10"/>
        <rFont val="Arial"/>
        <family val="2"/>
      </rPr>
      <t>I</t>
    </r>
  </si>
  <si>
    <r>
      <t>As=A's x R</t>
    </r>
    <r>
      <rPr>
        <vertAlign val="subscript"/>
        <sz val="10"/>
        <rFont val="Arial"/>
        <family val="2"/>
      </rPr>
      <t>I</t>
    </r>
  </si>
  <si>
    <t>d</t>
  </si>
  <si>
    <t>b</t>
  </si>
  <si>
    <t>h</t>
  </si>
  <si>
    <t>CALCULO DE PARAMETROS GEOMÉTRICOS</t>
  </si>
  <si>
    <t>m</t>
  </si>
  <si>
    <t>kx</t>
  </si>
  <si>
    <t>ky</t>
  </si>
  <si>
    <t>ky Ly</t>
  </si>
  <si>
    <t>kx Lx</t>
  </si>
  <si>
    <t>Lx</t>
  </si>
  <si>
    <t>Ly</t>
  </si>
  <si>
    <t>CENTRO DE CORTE</t>
  </si>
  <si>
    <t>m =</t>
  </si>
  <si>
    <t>CONTROLAR</t>
  </si>
  <si>
    <t>x0</t>
  </si>
  <si>
    <r>
      <t>xa =</t>
    </r>
    <r>
      <rPr>
        <sz val="10"/>
        <color theme="1"/>
        <rFont val="Arial"/>
        <family val="2"/>
      </rPr>
      <t xml:space="preserve"> xg +t/2</t>
    </r>
  </si>
  <si>
    <t>DISTANCIA ENTRE G y CC</t>
  </si>
  <si>
    <t>J</t>
  </si>
  <si>
    <r>
      <t>r=</t>
    </r>
    <r>
      <rPr>
        <sz val="10"/>
        <color theme="1"/>
        <rFont val="Arial"/>
        <family val="2"/>
      </rPr>
      <t xml:space="preserve"> R+t/2</t>
    </r>
  </si>
  <si>
    <r>
      <t>u=</t>
    </r>
    <r>
      <rPr>
        <sz val="10"/>
        <color theme="1"/>
        <rFont val="Arial"/>
        <family val="2"/>
      </rPr>
      <t>π*r/2</t>
    </r>
  </si>
  <si>
    <t>MODULO DE TORSION DE SAINT VENANT</t>
  </si>
  <si>
    <t>Cw</t>
  </si>
  <si>
    <t>MODULO DE ALABEO</t>
  </si>
  <si>
    <t>Cw =</t>
  </si>
  <si>
    <t>ELEMENTO 1 - Rigidizador de borde con tensiones uniformes</t>
  </si>
  <si>
    <t>Fe</t>
  </si>
  <si>
    <t>2.- TENSIÒN DE PANDEO FLEXIONAL ALREDEDOR DEL EJE Y-Y</t>
  </si>
  <si>
    <t>3.- TENSIÒN DE PANDEO FLEXOTORSIONAL ALREDEDOR DEL EJE X-X</t>
  </si>
  <si>
    <t>4.- DETERMINACION DE Fn</t>
  </si>
  <si>
    <t>Fn</t>
  </si>
  <si>
    <t>5.- DETERMINACION DE ANCHOS EFECTIVOS DE ELEMENTOS COMPRIMIDOS</t>
  </si>
  <si>
    <t>f</t>
  </si>
  <si>
    <t>ELEMENTO 3 - Elemento uniformemente comprimido con rigidizador de borde (ALA)</t>
  </si>
  <si>
    <t>ELEMENTO 4 - Elemento rigidizado uniformemente comprimido (Alma)</t>
  </si>
  <si>
    <t>Ae</t>
  </si>
  <si>
    <t>Pd</t>
  </si>
  <si>
    <t>6.- RESISTENCIA DE DISEÑO A COMPRESIÓN AXIL</t>
  </si>
  <si>
    <t>Dimensiones</t>
  </si>
  <si>
    <t>Espesor</t>
  </si>
  <si>
    <t>Peso LAC</t>
  </si>
  <si>
    <t>Peso Galva</t>
  </si>
  <si>
    <t>Sección</t>
  </si>
  <si>
    <t>Valores estáticos relativos a los ejes XX-YY</t>
  </si>
  <si>
    <t>Wx</t>
  </si>
  <si>
    <t>Jx</t>
  </si>
  <si>
    <t>Xg</t>
  </si>
  <si>
    <t>Wy</t>
  </si>
  <si>
    <t>Jy</t>
  </si>
  <si>
    <t>(mm)</t>
  </si>
  <si>
    <t>(kg/m)</t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</si>
  <si>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>)</t>
    </r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</si>
  <si>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3</t>
    </r>
    <r>
      <rPr>
        <b/>
        <sz val="10"/>
        <rFont val="Calibri"/>
        <family val="2"/>
        <scheme val="minor"/>
      </rPr>
      <t>)</t>
    </r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</si>
  <si>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4</t>
    </r>
    <r>
      <rPr>
        <b/>
        <sz val="10"/>
        <rFont val="Calibri"/>
        <family val="2"/>
        <scheme val="minor"/>
      </rPr>
      <t>)</t>
    </r>
  </si>
  <si>
    <t>(cm)</t>
  </si>
  <si>
    <t>-</t>
  </si>
  <si>
    <t>1.146.37</t>
  </si>
  <si>
    <t>Peso</t>
  </si>
  <si>
    <t>80x40x15x2.00</t>
  </si>
  <si>
    <t>80x40x15x2.50</t>
  </si>
  <si>
    <t>80x50x15x2.00</t>
  </si>
  <si>
    <t>80x50x15x2.50</t>
  </si>
  <si>
    <t>80x50x15x3.20</t>
  </si>
  <si>
    <t>80x40x15x3.20</t>
  </si>
  <si>
    <t>80x50x15x1.60</t>
  </si>
  <si>
    <t>80x40x15x1.60</t>
  </si>
  <si>
    <t>100x45x10x1.60</t>
  </si>
  <si>
    <t>100x45x10x2.00</t>
  </si>
  <si>
    <t>100x45x10x2.50</t>
  </si>
  <si>
    <t>100x45x10x3.20</t>
  </si>
  <si>
    <t>100x50x15x1.60</t>
  </si>
  <si>
    <t>100x50x15x2.00</t>
  </si>
  <si>
    <t>100x50x15x2.50</t>
  </si>
  <si>
    <t>100x50x15x3.20</t>
  </si>
  <si>
    <t>120x50x15x1.60</t>
  </si>
  <si>
    <t>120x50x15x2.50</t>
  </si>
  <si>
    <t>120x50x15x3.20</t>
  </si>
  <si>
    <t>120x50x15x2.00</t>
  </si>
  <si>
    <t>140x60x20x2.00</t>
  </si>
  <si>
    <t>140x60x20x2.50</t>
  </si>
  <si>
    <t>140x60x20x3.20</t>
  </si>
  <si>
    <t>160x60x20x2.00</t>
  </si>
  <si>
    <t>160x60x20x2.50</t>
  </si>
  <si>
    <t>160x60x20x3.20</t>
  </si>
  <si>
    <t>180x70x20x2.00</t>
  </si>
  <si>
    <t>180x70x20x2.50</t>
  </si>
  <si>
    <t>180x70x20x3.20</t>
  </si>
  <si>
    <t>200x80x20x2.00</t>
  </si>
  <si>
    <t>200x80x20x2.50</t>
  </si>
  <si>
    <t>200x80x20x3.20</t>
  </si>
  <si>
    <t>220x80x20x2.00</t>
  </si>
  <si>
    <t>220x80x20x2.50</t>
  </si>
  <si>
    <t>220x80x20x3.20</t>
  </si>
  <si>
    <t>240x80x25x2.50</t>
  </si>
  <si>
    <t>240x80x25x3.20</t>
  </si>
  <si>
    <t>Altura del alma</t>
  </si>
  <si>
    <t>Ancho del ala</t>
  </si>
  <si>
    <t>Alto del rigidizador</t>
  </si>
  <si>
    <t>kt</t>
  </si>
  <si>
    <t>kt Lt</t>
  </si>
  <si>
    <t>PERFIL C DE PARED DELGADA A COMPRESIÓN</t>
  </si>
  <si>
    <t>ELU 1</t>
  </si>
  <si>
    <t>Traccion</t>
  </si>
  <si>
    <t>ELU 2</t>
  </si>
  <si>
    <t>Compresion</t>
  </si>
  <si>
    <t>C Sup</t>
  </si>
  <si>
    <t>C Inf</t>
  </si>
  <si>
    <t>r</t>
  </si>
  <si>
    <t>Num</t>
  </si>
  <si>
    <t>Long</t>
  </si>
  <si>
    <t>Ángulo</t>
  </si>
  <si>
    <t>Lado</t>
  </si>
  <si>
    <t>Radios de acuerdo</t>
  </si>
  <si>
    <t>Column5</t>
  </si>
  <si>
    <t>Área
de la
sección</t>
  </si>
  <si>
    <t>Masa nominal por unidad de longitud</t>
  </si>
  <si>
    <t>Distancias
al centro
de gravedad</t>
  </si>
  <si>
    <t>Column9</t>
  </si>
  <si>
    <t>Column10</t>
  </si>
  <si>
    <t>Momentos de
inercia</t>
  </si>
  <si>
    <t>Column12</t>
  </si>
  <si>
    <t>Column13</t>
  </si>
  <si>
    <t>Módulos
resistentes</t>
  </si>
  <si>
    <t>Column15</t>
  </si>
  <si>
    <t>Radios de giro</t>
  </si>
  <si>
    <t>Column17</t>
  </si>
  <si>
    <t>Column18</t>
  </si>
  <si>
    <t>2</t>
  </si>
  <si>
    <t>r1</t>
  </si>
  <si>
    <t>ms</t>
  </si>
  <si>
    <t>fx=fy</t>
  </si>
  <si>
    <t>w</t>
  </si>
  <si>
    <t>V1</t>
  </si>
  <si>
    <t>Ix=Iy</t>
  </si>
  <si>
    <t>Iv</t>
  </si>
  <si>
    <t>Iz</t>
  </si>
  <si>
    <t>Wx=Wy</t>
  </si>
  <si>
    <t>Wv</t>
  </si>
  <si>
    <t>ix=iy</t>
  </si>
  <si>
    <t>iz</t>
  </si>
  <si>
    <t>iv</t>
  </si>
  <si>
    <t>pulgadas</t>
  </si>
  <si>
    <t>mm</t>
  </si>
  <si>
    <t>cm²</t>
  </si>
  <si>
    <t>kg/m</t>
  </si>
  <si>
    <t>cm</t>
  </si>
  <si>
    <t>cm4</t>
  </si>
  <si>
    <t>cm³</t>
  </si>
  <si>
    <t>1/2 x 1/8</t>
  </si>
  <si>
    <t>5/8 x 1/8</t>
  </si>
  <si>
    <t>3/4 x 1/8</t>
  </si>
  <si>
    <t>7/8 x 1/8</t>
  </si>
  <si>
    <t>1 x 1/8</t>
  </si>
  <si>
    <t>1 x 3/16</t>
  </si>
  <si>
    <t>1 1/4 x 1/8</t>
  </si>
  <si>
    <t>1 1/4 x 3/16</t>
  </si>
  <si>
    <t>1 1/2 x 1/8</t>
  </si>
  <si>
    <t>1 1/2 x 3/16</t>
  </si>
  <si>
    <t>1 1/2 x 1/4</t>
  </si>
  <si>
    <t>1 3/4 x 1/8</t>
  </si>
  <si>
    <t>1 3/4 x 3/16</t>
  </si>
  <si>
    <t>1 3/4 x 1/4</t>
  </si>
  <si>
    <t>2 x 1/8</t>
  </si>
  <si>
    <t>2 x 3/16</t>
  </si>
  <si>
    <t>2 x 1/4</t>
  </si>
  <si>
    <t>2 1/4 x 3/16</t>
  </si>
  <si>
    <t>2 1/4 x 1/4</t>
  </si>
  <si>
    <t>2 1/2 x 3/16</t>
  </si>
  <si>
    <t>2 1/2 x 1/4</t>
  </si>
  <si>
    <t>3 x 1/4</t>
  </si>
  <si>
    <t>3 x 5/16</t>
  </si>
  <si>
    <t>3 x 3/8</t>
  </si>
  <si>
    <t>3 1/2 x 5/16</t>
  </si>
  <si>
    <t>3 1/2 x 3/8</t>
  </si>
  <si>
    <t>4 x 5/16</t>
  </si>
  <si>
    <t>4 x 3/8</t>
  </si>
  <si>
    <t>4 x 1/2</t>
  </si>
  <si>
    <t>Perfil</t>
  </si>
  <si>
    <t>Radio de giro</t>
  </si>
  <si>
    <t>Rcia Pandeo</t>
  </si>
  <si>
    <t>Relacion</t>
  </si>
  <si>
    <t>Arriostramiento c/3m</t>
  </si>
  <si>
    <t>ELU2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</si>
</sst>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\ &quot;cm&quot;"/>
    <numFmt numFmtId="165" formatCode="0.00\ &quot;cm4&quot;"/>
    <numFmt numFmtId="166" formatCode="0.00\ &quot;cm3&quot;"/>
    <numFmt numFmtId="167" formatCode="0.0000\ &quot;kN/m&quot;"/>
    <numFmt numFmtId="168" formatCode="0\ &quot;MPa&quot;"/>
    <numFmt numFmtId="169" formatCode="0.00\ &quot;cm2&quot;"/>
    <numFmt numFmtId="170" formatCode="0.0000\ &quot;cm4&quot;"/>
    <numFmt numFmtId="171" formatCode="0.00\ &quot;MPa&quot;"/>
    <numFmt numFmtId="172" formatCode="0.000"/>
    <numFmt numFmtId="173" formatCode="0.0\ &quot;cm3&quot;"/>
    <numFmt numFmtId="174" formatCode="0.00\ &quot;kN&quot;"/>
  </numFmts>
  <fonts count="3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Times New Roman"/>
      <family val="1"/>
    </font>
    <font>
      <b/>
      <sz val="14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Arial"/>
      <family val="2"/>
    </font>
    <font>
      <b/>
      <sz val="8"/>
      <color rgb="FFFF0000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vertAlign val="subscript"/>
      <sz val="10"/>
      <color theme="1"/>
      <name val="Arial"/>
      <family val="2"/>
    </font>
    <font>
      <b/>
      <sz val="11"/>
      <name val="Arial"/>
      <family val="2"/>
    </font>
    <font>
      <vertAlign val="subscript"/>
      <sz val="10"/>
      <name val="Arial"/>
      <family val="2"/>
    </font>
    <font>
      <sz val="10"/>
      <color rgb="FF006100"/>
      <name val="Arial"/>
      <family val="2"/>
    </font>
    <font>
      <sz val="8"/>
      <color rgb="FFFF000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11"/>
      <color theme="0"/>
      <name val="Arial"/>
      <family val="2"/>
    </font>
    <font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rgb="FF0054A8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9" fontId="20" fillId="0" borderId="0" applyFont="0" applyFill="0" applyBorder="0" applyAlignment="0" applyProtection="0"/>
    <xf numFmtId="0" fontId="24" fillId="7" borderId="0" applyNumberFormat="0" applyBorder="0" applyAlignment="0" applyProtection="0"/>
  </cellStyleXfs>
  <cellXfs count="148">
    <xf numFmtId="0" fontId="0" fillId="0" borderId="0" xfId="0"/>
    <xf numFmtId="0" fontId="9" fillId="0" borderId="0" xfId="0" applyFont="1"/>
    <xf numFmtId="0" fontId="9" fillId="3" borderId="0" xfId="0" applyFont="1" applyFill="1"/>
    <xf numFmtId="0" fontId="12" fillId="0" borderId="1" xfId="1" applyFont="1" applyBorder="1" applyAlignment="1">
      <alignment horizontal="center" vertical="center"/>
    </xf>
    <xf numFmtId="164" fontId="9" fillId="3" borderId="0" xfId="0" applyNumberFormat="1" applyFont="1" applyFill="1"/>
    <xf numFmtId="167" fontId="9" fillId="3" borderId="0" xfId="0" applyNumberFormat="1" applyFont="1" applyFill="1"/>
    <xf numFmtId="169" fontId="9" fillId="3" borderId="0" xfId="0" applyNumberFormat="1" applyFont="1" applyFill="1"/>
    <xf numFmtId="0" fontId="8" fillId="3" borderId="0" xfId="0" applyFont="1" applyFill="1"/>
    <xf numFmtId="165" fontId="9" fillId="3" borderId="0" xfId="0" applyNumberFormat="1" applyFont="1" applyFill="1"/>
    <xf numFmtId="166" fontId="9" fillId="3" borderId="0" xfId="0" applyNumberFormat="1" applyFont="1" applyFill="1"/>
    <xf numFmtId="168" fontId="9" fillId="3" borderId="0" xfId="0" applyNumberFormat="1" applyFont="1" applyFill="1" applyAlignment="1">
      <alignment horizontal="right"/>
    </xf>
    <xf numFmtId="2" fontId="9" fillId="3" borderId="0" xfId="0" applyNumberFormat="1" applyFont="1" applyFill="1" applyAlignment="1">
      <alignment horizontal="right"/>
    </xf>
    <xf numFmtId="164" fontId="8" fillId="3" borderId="0" xfId="0" applyNumberFormat="1" applyFont="1" applyFill="1"/>
    <xf numFmtId="0" fontId="7" fillId="3" borderId="0" xfId="0" applyFont="1" applyFill="1"/>
    <xf numFmtId="0" fontId="7" fillId="3" borderId="0" xfId="0" applyFont="1" applyFill="1" applyAlignment="1">
      <alignment horizontal="center"/>
    </xf>
    <xf numFmtId="0" fontId="17" fillId="3" borderId="0" xfId="0" applyFont="1" applyFill="1"/>
    <xf numFmtId="0" fontId="14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 vertical="center"/>
    </xf>
    <xf numFmtId="0" fontId="10" fillId="4" borderId="0" xfId="0" applyFont="1" applyFill="1"/>
    <xf numFmtId="0" fontId="10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164" fontId="10" fillId="0" borderId="0" xfId="0" applyNumberFormat="1" applyFont="1"/>
    <xf numFmtId="0" fontId="5" fillId="4" borderId="0" xfId="0" applyFont="1" applyFill="1" applyAlignment="1">
      <alignment horizontal="center"/>
    </xf>
    <xf numFmtId="0" fontId="9" fillId="3" borderId="0" xfId="0" applyFont="1" applyFill="1" applyAlignment="1">
      <alignment horizontal="left"/>
    </xf>
    <xf numFmtId="0" fontId="9" fillId="3" borderId="6" xfId="0" applyFont="1" applyFill="1" applyBorder="1"/>
    <xf numFmtId="169" fontId="9" fillId="3" borderId="8" xfId="0" applyNumberFormat="1" applyFont="1" applyFill="1" applyBorder="1"/>
    <xf numFmtId="0" fontId="9" fillId="3" borderId="5" xfId="0" applyFont="1" applyFill="1" applyBorder="1"/>
    <xf numFmtId="0" fontId="5" fillId="3" borderId="0" xfId="0" applyFont="1" applyFill="1"/>
    <xf numFmtId="0" fontId="5" fillId="5" borderId="0" xfId="0" applyFont="1" applyFill="1"/>
    <xf numFmtId="0" fontId="9" fillId="5" borderId="0" xfId="0" applyFont="1" applyFill="1" applyAlignment="1">
      <alignment horizontal="right"/>
    </xf>
    <xf numFmtId="0" fontId="5" fillId="5" borderId="5" xfId="0" applyFont="1" applyFill="1" applyBorder="1"/>
    <xf numFmtId="0" fontId="9" fillId="5" borderId="6" xfId="0" applyFont="1" applyFill="1" applyBorder="1"/>
    <xf numFmtId="0" fontId="9" fillId="5" borderId="0" xfId="0" applyFont="1" applyFill="1"/>
    <xf numFmtId="0" fontId="5" fillId="5" borderId="0" xfId="0" applyFont="1" applyFill="1" applyAlignment="1">
      <alignment horizontal="left"/>
    </xf>
    <xf numFmtId="0" fontId="9" fillId="5" borderId="8" xfId="0" applyFont="1" applyFill="1" applyBorder="1"/>
    <xf numFmtId="0" fontId="5" fillId="5" borderId="0" xfId="0" applyFont="1" applyFill="1" applyAlignment="1">
      <alignment horizontal="right"/>
    </xf>
    <xf numFmtId="0" fontId="5" fillId="5" borderId="0" xfId="0" applyFont="1" applyFill="1" applyAlignment="1">
      <alignment horizontal="center"/>
    </xf>
    <xf numFmtId="164" fontId="8" fillId="5" borderId="0" xfId="0" applyNumberFormat="1" applyFont="1" applyFill="1"/>
    <xf numFmtId="2" fontId="5" fillId="6" borderId="0" xfId="0" applyNumberFormat="1" applyFont="1" applyFill="1"/>
    <xf numFmtId="164" fontId="13" fillId="3" borderId="6" xfId="0" applyNumberFormat="1" applyFont="1" applyFill="1" applyBorder="1"/>
    <xf numFmtId="170" fontId="13" fillId="3" borderId="0" xfId="0" applyNumberFormat="1" applyFont="1" applyFill="1"/>
    <xf numFmtId="164" fontId="13" fillId="3" borderId="0" xfId="0" applyNumberFormat="1" applyFont="1" applyFill="1"/>
    <xf numFmtId="170" fontId="13" fillId="3" borderId="6" xfId="0" applyNumberFormat="1" applyFont="1" applyFill="1" applyBorder="1"/>
    <xf numFmtId="0" fontId="9" fillId="5" borderId="12" xfId="0" applyFont="1" applyFill="1" applyBorder="1"/>
    <xf numFmtId="0" fontId="5" fillId="6" borderId="0" xfId="0" applyFont="1" applyFill="1"/>
    <xf numFmtId="168" fontId="9" fillId="5" borderId="0" xfId="0" applyNumberFormat="1" applyFont="1" applyFill="1" applyAlignment="1">
      <alignment horizontal="right"/>
    </xf>
    <xf numFmtId="0" fontId="9" fillId="5" borderId="5" xfId="0" applyFont="1" applyFill="1" applyBorder="1"/>
    <xf numFmtId="0" fontId="9" fillId="5" borderId="11" xfId="0" applyFont="1" applyFill="1" applyBorder="1"/>
    <xf numFmtId="0" fontId="13" fillId="5" borderId="5" xfId="0" applyFont="1" applyFill="1" applyBorder="1"/>
    <xf numFmtId="0" fontId="5" fillId="5" borderId="11" xfId="0" applyFont="1" applyFill="1" applyBorder="1"/>
    <xf numFmtId="0" fontId="13" fillId="5" borderId="11" xfId="0" applyFont="1" applyFill="1" applyBorder="1"/>
    <xf numFmtId="0" fontId="10" fillId="5" borderId="5" xfId="0" applyFont="1" applyFill="1" applyBorder="1"/>
    <xf numFmtId="0" fontId="5" fillId="5" borderId="5" xfId="0" applyFont="1" applyFill="1" applyBorder="1" applyAlignment="1">
      <alignment horizontal="left"/>
    </xf>
    <xf numFmtId="0" fontId="5" fillId="6" borderId="5" xfId="0" applyFont="1" applyFill="1" applyBorder="1"/>
    <xf numFmtId="169" fontId="9" fillId="3" borderId="12" xfId="0" applyNumberFormat="1" applyFont="1" applyFill="1" applyBorder="1"/>
    <xf numFmtId="0" fontId="5" fillId="4" borderId="5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9" fillId="5" borderId="9" xfId="0" applyFont="1" applyFill="1" applyBorder="1"/>
    <xf numFmtId="0" fontId="9" fillId="5" borderId="7" xfId="0" applyFont="1" applyFill="1" applyBorder="1"/>
    <xf numFmtId="0" fontId="9" fillId="3" borderId="6" xfId="0" applyFont="1" applyFill="1" applyBorder="1" applyAlignment="1">
      <alignment horizontal="right"/>
    </xf>
    <xf numFmtId="0" fontId="10" fillId="3" borderId="6" xfId="0" applyFont="1" applyFill="1" applyBorder="1" applyAlignment="1">
      <alignment horizontal="right" vertical="center"/>
    </xf>
    <xf numFmtId="0" fontId="10" fillId="3" borderId="6" xfId="0" applyFont="1" applyFill="1" applyBorder="1" applyAlignment="1">
      <alignment horizontal="right"/>
    </xf>
    <xf numFmtId="0" fontId="18" fillId="3" borderId="6" xfId="0" applyFont="1" applyFill="1" applyBorder="1" applyAlignment="1">
      <alignment horizontal="right" vertical="center"/>
    </xf>
    <xf numFmtId="0" fontId="9" fillId="0" borderId="6" xfId="0" applyFont="1" applyBorder="1" applyAlignment="1">
      <alignment horizontal="right"/>
    </xf>
    <xf numFmtId="0" fontId="9" fillId="3" borderId="8" xfId="0" applyFont="1" applyFill="1" applyBorder="1"/>
    <xf numFmtId="0" fontId="4" fillId="5" borderId="5" xfId="0" applyFont="1" applyFill="1" applyBorder="1"/>
    <xf numFmtId="0" fontId="3" fillId="3" borderId="0" xfId="0" applyFont="1" applyFill="1"/>
    <xf numFmtId="0" fontId="9" fillId="3" borderId="6" xfId="0" applyFont="1" applyFill="1" applyBorder="1" applyAlignment="1">
      <alignment horizontal="left"/>
    </xf>
    <xf numFmtId="0" fontId="18" fillId="3" borderId="0" xfId="0" applyFont="1" applyFill="1"/>
    <xf numFmtId="0" fontId="10" fillId="5" borderId="0" xfId="0" applyFont="1" applyFill="1" applyAlignment="1">
      <alignment horizontal="center"/>
    </xf>
    <xf numFmtId="173" fontId="9" fillId="3" borderId="0" xfId="0" applyNumberFormat="1" applyFont="1" applyFill="1"/>
    <xf numFmtId="172" fontId="9" fillId="3" borderId="0" xfId="0" applyNumberFormat="1" applyFont="1" applyFill="1"/>
    <xf numFmtId="172" fontId="5" fillId="3" borderId="0" xfId="0" applyNumberFormat="1" applyFont="1" applyFill="1"/>
    <xf numFmtId="0" fontId="9" fillId="3" borderId="12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2" fillId="5" borderId="5" xfId="0" applyFont="1" applyFill="1" applyBorder="1" applyAlignment="1">
      <alignment horizontal="center"/>
    </xf>
    <xf numFmtId="0" fontId="9" fillId="3" borderId="0" xfId="0" applyFont="1" applyFill="1" applyAlignment="1">
      <alignment horizontal="right"/>
    </xf>
    <xf numFmtId="174" fontId="10" fillId="3" borderId="0" xfId="0" applyNumberFormat="1" applyFont="1" applyFill="1" applyAlignment="1">
      <alignment horizontal="center"/>
    </xf>
    <xf numFmtId="0" fontId="26" fillId="3" borderId="1" xfId="0" applyFont="1" applyFill="1" applyBorder="1" applyAlignment="1">
      <alignment horizontal="center" vertical="top" wrapText="1"/>
    </xf>
    <xf numFmtId="0" fontId="27" fillId="3" borderId="1" xfId="0" applyFont="1" applyFill="1" applyBorder="1" applyAlignment="1">
      <alignment horizontal="center" vertical="top" wrapText="1"/>
    </xf>
    <xf numFmtId="0" fontId="27" fillId="3" borderId="1" xfId="0" applyFont="1" applyFill="1" applyBorder="1" applyAlignment="1">
      <alignment horizontal="center" vertical="top" shrinkToFit="1"/>
    </xf>
    <xf numFmtId="0" fontId="27" fillId="3" borderId="1" xfId="0" applyFont="1" applyFill="1" applyBorder="1" applyAlignment="1">
      <alignment horizontal="center" wrapText="1"/>
    </xf>
    <xf numFmtId="0" fontId="26" fillId="8" borderId="1" xfId="0" applyFont="1" applyFill="1" applyBorder="1" applyAlignment="1">
      <alignment horizontal="center" vertical="top" wrapText="1"/>
    </xf>
    <xf numFmtId="0" fontId="27" fillId="8" borderId="1" xfId="0" applyFont="1" applyFill="1" applyBorder="1" applyAlignment="1">
      <alignment horizontal="center" vertical="top" wrapText="1"/>
    </xf>
    <xf numFmtId="0" fontId="27" fillId="8" borderId="1" xfId="0" applyFont="1" applyFill="1" applyBorder="1" applyAlignment="1">
      <alignment horizontal="center" vertical="top" shrinkToFit="1"/>
    </xf>
    <xf numFmtId="0" fontId="0" fillId="8" borderId="0" xfId="0" applyFill="1"/>
    <xf numFmtId="0" fontId="10" fillId="4" borderId="6" xfId="0" applyFont="1" applyFill="1" applyBorder="1" applyAlignment="1">
      <alignment horizontal="right"/>
    </xf>
    <xf numFmtId="0" fontId="30" fillId="3" borderId="0" xfId="0" applyFont="1" applyFill="1"/>
    <xf numFmtId="0" fontId="3" fillId="3" borderId="0" xfId="0" applyFont="1" applyFill="1" applyAlignment="1">
      <alignment horizontal="center"/>
    </xf>
    <xf numFmtId="168" fontId="9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10" fillId="3" borderId="0" xfId="0" applyFont="1" applyFill="1"/>
    <xf numFmtId="0" fontId="14" fillId="3" borderId="0" xfId="3" applyFont="1" applyFill="1" applyAlignment="1">
      <alignment horizontal="center"/>
    </xf>
    <xf numFmtId="171" fontId="14" fillId="3" borderId="0" xfId="3" applyNumberFormat="1" applyFont="1" applyFill="1" applyAlignment="1">
      <alignment horizontal="right"/>
    </xf>
    <xf numFmtId="0" fontId="14" fillId="3" borderId="0" xfId="3" applyFont="1" applyFill="1" applyBorder="1" applyAlignment="1">
      <alignment horizontal="center"/>
    </xf>
    <xf numFmtId="169" fontId="14" fillId="3" borderId="0" xfId="3" applyNumberFormat="1" applyFont="1" applyFill="1" applyAlignment="1">
      <alignment horizontal="center"/>
    </xf>
    <xf numFmtId="0" fontId="10" fillId="4" borderId="0" xfId="0" applyFont="1" applyFill="1" applyAlignment="1">
      <alignment horizontal="left"/>
    </xf>
    <xf numFmtId="0" fontId="10" fillId="3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5" borderId="10" xfId="0" applyFont="1" applyFill="1" applyBorder="1" applyAlignment="1">
      <alignment horizontal="center"/>
    </xf>
    <xf numFmtId="0" fontId="1" fillId="3" borderId="0" xfId="0" applyFont="1" applyFill="1"/>
    <xf numFmtId="0" fontId="1" fillId="0" borderId="0" xfId="0" applyFont="1"/>
    <xf numFmtId="0" fontId="9" fillId="2" borderId="0" xfId="0" applyFont="1" applyFill="1"/>
    <xf numFmtId="0" fontId="10" fillId="4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0" fontId="10" fillId="4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left" vertical="center"/>
    </xf>
    <xf numFmtId="0" fontId="10" fillId="5" borderId="13" xfId="0" applyFont="1" applyFill="1" applyBorder="1" applyAlignment="1">
      <alignment horizontal="center"/>
    </xf>
    <xf numFmtId="0" fontId="10" fillId="5" borderId="14" xfId="0" applyFont="1" applyFill="1" applyBorder="1" applyAlignment="1">
      <alignment horizontal="center"/>
    </xf>
    <xf numFmtId="0" fontId="14" fillId="5" borderId="13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10" fillId="5" borderId="13" xfId="2" applyNumberFormat="1" applyFont="1" applyFill="1" applyBorder="1" applyAlignment="1">
      <alignment horizontal="left"/>
    </xf>
    <xf numFmtId="0" fontId="10" fillId="5" borderId="14" xfId="2" applyNumberFormat="1" applyFont="1" applyFill="1" applyBorder="1" applyAlignment="1">
      <alignment horizontal="left"/>
    </xf>
    <xf numFmtId="0" fontId="10" fillId="5" borderId="14" xfId="2" applyNumberFormat="1" applyFont="1" applyFill="1" applyBorder="1" applyAlignment="1">
      <alignment horizontal="center"/>
    </xf>
    <xf numFmtId="0" fontId="10" fillId="5" borderId="15" xfId="2" applyNumberFormat="1" applyFont="1" applyFill="1" applyBorder="1" applyAlignment="1">
      <alignment horizontal="center"/>
    </xf>
    <xf numFmtId="171" fontId="9" fillId="3" borderId="0" xfId="0" applyNumberFormat="1" applyFont="1" applyFill="1" applyAlignment="1">
      <alignment horizontal="center" vertical="center"/>
    </xf>
    <xf numFmtId="0" fontId="10" fillId="4" borderId="6" xfId="0" applyFont="1" applyFill="1" applyBorder="1" applyAlignment="1">
      <alignment horizontal="left"/>
    </xf>
    <xf numFmtId="164" fontId="8" fillId="3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left"/>
    </xf>
    <xf numFmtId="0" fontId="18" fillId="3" borderId="0" xfId="0" applyFont="1" applyFill="1" applyAlignment="1">
      <alignment horizontal="left" vertical="center"/>
    </xf>
    <xf numFmtId="0" fontId="18" fillId="3" borderId="0" xfId="0" applyFont="1" applyFill="1" applyAlignment="1">
      <alignment horizontal="left"/>
    </xf>
    <xf numFmtId="0" fontId="10" fillId="3" borderId="1" xfId="0" applyFont="1" applyFill="1" applyBorder="1" applyAlignment="1">
      <alignment horizontal="left"/>
    </xf>
    <xf numFmtId="164" fontId="8" fillId="5" borderId="0" xfId="0" applyNumberFormat="1" applyFont="1" applyFill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2" fontId="9" fillId="5" borderId="0" xfId="0" applyNumberFormat="1" applyFont="1" applyFill="1" applyAlignment="1">
      <alignment horizontal="center" vertical="center"/>
    </xf>
    <xf numFmtId="0" fontId="10" fillId="3" borderId="13" xfId="0" applyFont="1" applyFill="1" applyBorder="1" applyAlignment="1">
      <alignment horizontal="left"/>
    </xf>
    <xf numFmtId="0" fontId="10" fillId="3" borderId="14" xfId="0" applyFont="1" applyFill="1" applyBorder="1" applyAlignment="1">
      <alignment horizontal="left"/>
    </xf>
    <xf numFmtId="0" fontId="10" fillId="3" borderId="15" xfId="0" applyFont="1" applyFill="1" applyBorder="1" applyAlignment="1">
      <alignment horizontal="left"/>
    </xf>
    <xf numFmtId="0" fontId="29" fillId="9" borderId="1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left"/>
    </xf>
    <xf numFmtId="0" fontId="19" fillId="3" borderId="0" xfId="0" applyFont="1" applyFill="1" applyAlignment="1">
      <alignment horizontal="left"/>
    </xf>
    <xf numFmtId="0" fontId="14" fillId="4" borderId="2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 vertical="top" wrapText="1"/>
    </xf>
    <xf numFmtId="0" fontId="26" fillId="8" borderId="16" xfId="0" applyFont="1" applyFill="1" applyBorder="1" applyAlignment="1">
      <alignment horizontal="center" vertical="center" wrapText="1"/>
    </xf>
    <xf numFmtId="0" fontId="26" fillId="8" borderId="17" xfId="0" applyFont="1" applyFill="1" applyBorder="1" applyAlignment="1">
      <alignment horizontal="center" vertical="center" wrapText="1"/>
    </xf>
    <xf numFmtId="0" fontId="9" fillId="0" borderId="0" xfId="0" applyFont="1" applyFill="1"/>
  </cellXfs>
  <cellStyles count="4">
    <cellStyle name="Bueno" xfId="3" builtinId="26"/>
    <cellStyle name="Normal" xfId="0" builtinId="0"/>
    <cellStyle name="Normal 2" xfId="1" xr:uid="{9781F269-F302-4413-8EF1-E24F6A01C0AA}"/>
    <cellStyle name="Porcentaje" xfId="2" builtinId="5"/>
  </cellStyles>
  <dxfs count="63"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054A8"/>
      <color rgb="FFFF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2EED038-3092-4C67-833D-22016DE56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46792" y="18978513"/>
          <a:ext cx="2741149" cy="552244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24745A5-150A-4C20-9BDD-77D514FA3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1267" y="597730"/>
          <a:ext cx="4865586" cy="1566823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F4193FE-C57B-42DB-A9E9-DE3CD8F70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720727"/>
          <a:ext cx="1406531" cy="60840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BEF09F9-FE48-4AE4-8899-F012FCDE8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6375875"/>
          <a:ext cx="599400" cy="63737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2491C0E-605C-4268-B6EE-AD1BD9728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280513" y="16828133"/>
          <a:ext cx="1153762" cy="31047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47369B6-BC58-400A-A902-CAFC9152F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8282426"/>
          <a:ext cx="1005509" cy="40612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61EDFB2-6716-41B7-9EDF-C6DE9D990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656787" y="19563098"/>
          <a:ext cx="501613" cy="33644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2F07D3A-ECC7-43B2-96B7-80FD5C47F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40324" y="19557101"/>
          <a:ext cx="857897" cy="190660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4248FB4-F676-44AB-973F-2389B9D80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76491" y="20158191"/>
          <a:ext cx="1001248" cy="418926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C8B2BE9C-5306-4652-A270-6056551F5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885152" y="20625608"/>
          <a:ext cx="3646862" cy="907910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B90EB0B-812A-4DE0-8D26-5502E0801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984885" y="20100175"/>
          <a:ext cx="1254093" cy="39318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F423468-AE42-4F3E-9626-0FFF5693C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350741" y="20095845"/>
          <a:ext cx="399598" cy="40528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99FCEACD-7C82-4162-AA38-40EEEFA88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793749"/>
          <a:ext cx="868679" cy="428072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00DE918-4210-4646-8D04-38EA5BDF7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614884"/>
          <a:ext cx="1148827" cy="436650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7B23E25A-1242-4E3F-81B5-D0360A3C5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1196918"/>
          <a:ext cx="857474" cy="282603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49929442-7A7F-4B76-9A1D-974B36E67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587105"/>
          <a:ext cx="1777151" cy="481631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82F00F51-E8A2-4C5E-901F-B8C08D955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578420"/>
          <a:ext cx="2848368" cy="563389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7E340E28-23E6-4695-BCD1-9703DDA16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2272644"/>
          <a:ext cx="1092798" cy="213130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73DA55D0-64D9-4E7E-9208-FD140F835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694467"/>
          <a:ext cx="563217" cy="44139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EEC15DC8-4055-4DB1-A782-4613DD581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1382387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9CA1477B-EDF0-40D4-9682-9275AABA3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2037535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049B767E-3ABC-4AD0-87CA-D26286371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280513" y="22489793"/>
          <a:ext cx="1132807" cy="29904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5ECD6C3-0BAA-46ED-8CFB-B0B3CB303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23882" y="18422253"/>
          <a:ext cx="2680189" cy="542719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A7988FC-C0AE-4BEC-8B5A-8FBD33F99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312" y="601540"/>
          <a:ext cx="4728426" cy="1515388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1A259CA-C586-419C-B5FE-7A59DACFB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257812"/>
          <a:ext cx="1385576" cy="58554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B23C2AB-562E-43C9-84DF-B05B7F7C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5890100"/>
          <a:ext cx="599400" cy="61451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A92F3CC-5856-41F1-990E-D2D6A71B8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16325213"/>
          <a:ext cx="1132807" cy="29904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B574CF81-360E-4BC4-B30F-ACFF0BE31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7728071"/>
          <a:ext cx="984554" cy="39469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85ECF5D-3764-451B-85B4-C913BB371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33877" y="18997313"/>
          <a:ext cx="486373" cy="34025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97B5A12-1731-4663-B1D8-B4CF29B60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802174" y="18991316"/>
          <a:ext cx="842657" cy="192565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FE20D03C-C365-4177-8E0B-B31366603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74536" y="19598121"/>
          <a:ext cx="980293" cy="401781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A0FC888-70B4-4275-B95A-E65A5CC8C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83197" y="20048393"/>
          <a:ext cx="3564947" cy="879335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73D91588-ADB9-47A2-BED4-04688755E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561975" y="19540105"/>
          <a:ext cx="1223613" cy="38175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73E7C7E-ED6C-48DE-9056-05BEC4834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97351" y="19535775"/>
          <a:ext cx="384358" cy="39385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0D2D935-3B51-4886-BB9A-87DB3B7F0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521334"/>
          <a:ext cx="847724" cy="410927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2B5BA64-0FD4-4163-AC9C-5F1D5A5EF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313894"/>
          <a:ext cx="1127872" cy="419505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BB4E7726-B814-4336-8047-358EF3883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0873068"/>
          <a:ext cx="836519" cy="276888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C8EE66FA-E475-4E4B-AD8D-5F28A94B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251825"/>
          <a:ext cx="1756196" cy="464486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D38C43E7-EC07-4F9C-A869-D426D4B44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208850"/>
          <a:ext cx="2775978" cy="546244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93376AF9-2300-4053-87E6-226DFA8CF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1914504"/>
          <a:ext cx="1071843" cy="207415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A29F4B3E-592E-4E82-8CEA-D758B27F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284892"/>
          <a:ext cx="563217" cy="42996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F77748D8-F679-4437-B5CE-218B1F863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0782312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042F1C2B-5D32-4649-8589-99B7FCA9E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1414600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78200E02-7EAF-4A09-80B6-9C6A2B15B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21849713"/>
          <a:ext cx="1132807" cy="299048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19A674B-DBF5-43D1-BD17-13F424670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23882" y="18422253"/>
          <a:ext cx="2680189" cy="542719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0FF811A-7640-47CA-8954-B949C238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312" y="601540"/>
          <a:ext cx="4728426" cy="1515388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4F8C008-40BA-403A-AD25-2D896EEC3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257812"/>
          <a:ext cx="1385576" cy="58554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21C1E7C-3B90-4D0E-8C6B-A4348ADC4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5890100"/>
          <a:ext cx="599400" cy="61451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73E291C-5EC9-4AEE-94FC-2E402D36C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16325213"/>
          <a:ext cx="1132807" cy="29904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21600E5-D03C-448A-90F1-1FC0DB4DE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7728071"/>
          <a:ext cx="984554" cy="39469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3A35477-741E-4E4F-B43E-8C3C1D39A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33877" y="18997313"/>
          <a:ext cx="486373" cy="34025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C82257D-9F9E-4C6B-A8B1-2D5CB420D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802174" y="18991316"/>
          <a:ext cx="842657" cy="192565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D2F5EA96-58B0-4267-8D7C-80B19C9DE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74536" y="19598121"/>
          <a:ext cx="980293" cy="401781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478BF9DB-6AA3-4045-8A93-E78A6A240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83197" y="20048393"/>
          <a:ext cx="3564947" cy="879335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2113867-38BB-4F26-91B4-87FED4842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561975" y="19540105"/>
          <a:ext cx="1223613" cy="38175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5D7336B9-9F06-4271-B7C7-938A5F608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97351" y="19535775"/>
          <a:ext cx="384358" cy="39385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FE85DE8A-D0F9-4C13-A759-D765142FF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521334"/>
          <a:ext cx="847724" cy="410927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2DD210B-DC7A-4820-9A60-E01982390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313894"/>
          <a:ext cx="1127872" cy="419505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AD02ACE-7DAB-40B0-9484-A9CB62857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0873068"/>
          <a:ext cx="836519" cy="276888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96BADC22-DB70-4A4E-A62F-17C3739BC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251825"/>
          <a:ext cx="1756196" cy="464486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21411BD4-E203-4128-8975-DC92AE596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208850"/>
          <a:ext cx="2775978" cy="546244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3FAF6EBB-B589-49A8-B4EF-40729003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1914504"/>
          <a:ext cx="1071843" cy="207415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44A4C24F-914B-46B8-AE81-D92D0BA3B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284892"/>
          <a:ext cx="563217" cy="42996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E6C21700-46B5-4A7A-80A2-820FA2012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0782312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20E9B30C-B334-4448-8CC6-E656E62BD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1414600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EF90BF79-1284-44B9-B6B3-0B7AE3250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21849713"/>
          <a:ext cx="1132807" cy="299048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690</xdr:colOff>
      <xdr:row>4</xdr:row>
      <xdr:rowOff>79888</xdr:rowOff>
    </xdr:from>
    <xdr:ext cx="0" cy="27940"/>
    <xdr:sp macro="" textlink="">
      <xdr:nvSpPr>
        <xdr:cNvPr id="2" name="Shape 2">
          <a:extLst>
            <a:ext uri="{FF2B5EF4-FFF2-40B4-BE49-F238E27FC236}">
              <a16:creationId xmlns:a16="http://schemas.microsoft.com/office/drawing/2014/main" id="{CE3BA455-373E-425E-A3D4-F8B744A2286B}"/>
            </a:ext>
          </a:extLst>
        </xdr:cNvPr>
        <xdr:cNvSpPr/>
      </xdr:nvSpPr>
      <xdr:spPr>
        <a:xfrm>
          <a:off x="205809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4</xdr:row>
      <xdr:rowOff>79888</xdr:rowOff>
    </xdr:from>
    <xdr:ext cx="0" cy="2794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14F73CE6-9544-4A62-9EB7-0546763EFE1B}"/>
            </a:ext>
          </a:extLst>
        </xdr:cNvPr>
        <xdr:cNvSpPr/>
      </xdr:nvSpPr>
      <xdr:spPr>
        <a:xfrm>
          <a:off x="320984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4</xdr:row>
      <xdr:rowOff>79888</xdr:rowOff>
    </xdr:from>
    <xdr:ext cx="0" cy="2794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D6F4A783-4431-4DEA-A0FB-93E7636993D6}"/>
            </a:ext>
          </a:extLst>
        </xdr:cNvPr>
        <xdr:cNvSpPr/>
      </xdr:nvSpPr>
      <xdr:spPr>
        <a:xfrm>
          <a:off x="473262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4</xdr:row>
      <xdr:rowOff>79888</xdr:rowOff>
    </xdr:from>
    <xdr:ext cx="0" cy="2794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7E935F03-475D-4F59-A986-F60BAD099541}"/>
            </a:ext>
          </a:extLst>
        </xdr:cNvPr>
        <xdr:cNvSpPr/>
      </xdr:nvSpPr>
      <xdr:spPr>
        <a:xfrm>
          <a:off x="1667078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4</xdr:row>
      <xdr:rowOff>79888</xdr:rowOff>
    </xdr:from>
    <xdr:ext cx="0" cy="2794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381D96F2-759A-4F4F-9A91-49508F4BEB78}"/>
            </a:ext>
          </a:extLst>
        </xdr:cNvPr>
        <xdr:cNvSpPr/>
      </xdr:nvSpPr>
      <xdr:spPr>
        <a:xfrm>
          <a:off x="282077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4</xdr:row>
      <xdr:rowOff>79888</xdr:rowOff>
    </xdr:from>
    <xdr:ext cx="0" cy="2794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1CC33370-D721-4D13-815D-8FF1B80E7BD8}"/>
            </a:ext>
          </a:extLst>
        </xdr:cNvPr>
        <xdr:cNvSpPr/>
      </xdr:nvSpPr>
      <xdr:spPr>
        <a:xfrm>
          <a:off x="390142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4</xdr:row>
      <xdr:rowOff>79888</xdr:rowOff>
    </xdr:from>
    <xdr:ext cx="0" cy="2794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9331B3DA-92AA-4D48-8EC7-54064AC4EF99}"/>
            </a:ext>
          </a:extLst>
        </xdr:cNvPr>
        <xdr:cNvSpPr/>
      </xdr:nvSpPr>
      <xdr:spPr>
        <a:xfrm>
          <a:off x="512231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4</xdr:row>
      <xdr:rowOff>79888</xdr:rowOff>
    </xdr:from>
    <xdr:ext cx="0" cy="2794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DAC768C4-12D1-49C6-A48D-51D40DCB77E0}"/>
            </a:ext>
          </a:extLst>
        </xdr:cNvPr>
        <xdr:cNvSpPr/>
      </xdr:nvSpPr>
      <xdr:spPr>
        <a:xfrm>
          <a:off x="1285875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4</xdr:row>
      <xdr:rowOff>79888</xdr:rowOff>
    </xdr:from>
    <xdr:ext cx="0" cy="27940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4920C5D-BAAA-4AA3-BCDC-28313E9DF561}"/>
            </a:ext>
          </a:extLst>
        </xdr:cNvPr>
        <xdr:cNvSpPr/>
      </xdr:nvSpPr>
      <xdr:spPr>
        <a:xfrm>
          <a:off x="2439583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4</xdr:row>
      <xdr:rowOff>79888</xdr:rowOff>
    </xdr:from>
    <xdr:ext cx="0" cy="27940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9D39DCBC-CA62-42A9-A9B6-6DA1CC191CF3}"/>
            </a:ext>
          </a:extLst>
        </xdr:cNvPr>
        <xdr:cNvSpPr/>
      </xdr:nvSpPr>
      <xdr:spPr>
        <a:xfrm>
          <a:off x="358341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4</xdr:row>
      <xdr:rowOff>79888</xdr:rowOff>
    </xdr:from>
    <xdr:ext cx="0" cy="27940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645BB7BF-62E1-42A7-8913-919A283F6CB4}"/>
            </a:ext>
          </a:extLst>
        </xdr:cNvPr>
        <xdr:cNvSpPr/>
      </xdr:nvSpPr>
      <xdr:spPr>
        <a:xfrm>
          <a:off x="4352461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6</xdr:row>
      <xdr:rowOff>99367</xdr:rowOff>
    </xdr:from>
    <xdr:ext cx="0" cy="27940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2F1685C3-BDB9-4A9B-B543-1A2E2C23E44C}"/>
            </a:ext>
          </a:extLst>
        </xdr:cNvPr>
        <xdr:cNvSpPr/>
      </xdr:nvSpPr>
      <xdr:spPr>
        <a:xfrm>
          <a:off x="205809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6</xdr:row>
      <xdr:rowOff>99367</xdr:rowOff>
    </xdr:from>
    <xdr:ext cx="0" cy="27940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A39CB8F0-D200-4337-A855-6F2B2C0E9875}"/>
            </a:ext>
          </a:extLst>
        </xdr:cNvPr>
        <xdr:cNvSpPr/>
      </xdr:nvSpPr>
      <xdr:spPr>
        <a:xfrm>
          <a:off x="320984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6</xdr:row>
      <xdr:rowOff>99367</xdr:rowOff>
    </xdr:from>
    <xdr:ext cx="0" cy="27940"/>
    <xdr:sp macro="" textlink="">
      <xdr:nvSpPr>
        <xdr:cNvPr id="15" name="Shape 15">
          <a:extLst>
            <a:ext uri="{FF2B5EF4-FFF2-40B4-BE49-F238E27FC236}">
              <a16:creationId xmlns:a16="http://schemas.microsoft.com/office/drawing/2014/main" id="{08E8A981-BF46-416B-9A93-444AAA0F75AC}"/>
            </a:ext>
          </a:extLst>
        </xdr:cNvPr>
        <xdr:cNvSpPr/>
      </xdr:nvSpPr>
      <xdr:spPr>
        <a:xfrm>
          <a:off x="473262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6</xdr:row>
      <xdr:rowOff>99367</xdr:rowOff>
    </xdr:from>
    <xdr:ext cx="0" cy="27940"/>
    <xdr:sp macro="" textlink="">
      <xdr:nvSpPr>
        <xdr:cNvPr id="16" name="Shape 16">
          <a:extLst>
            <a:ext uri="{FF2B5EF4-FFF2-40B4-BE49-F238E27FC236}">
              <a16:creationId xmlns:a16="http://schemas.microsoft.com/office/drawing/2014/main" id="{2C1B7C53-2796-45D9-86C6-2CE727CE8C95}"/>
            </a:ext>
          </a:extLst>
        </xdr:cNvPr>
        <xdr:cNvSpPr/>
      </xdr:nvSpPr>
      <xdr:spPr>
        <a:xfrm>
          <a:off x="1667078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6</xdr:row>
      <xdr:rowOff>99367</xdr:rowOff>
    </xdr:from>
    <xdr:ext cx="0" cy="27940"/>
    <xdr:sp macro="" textlink="">
      <xdr:nvSpPr>
        <xdr:cNvPr id="17" name="Shape 17">
          <a:extLst>
            <a:ext uri="{FF2B5EF4-FFF2-40B4-BE49-F238E27FC236}">
              <a16:creationId xmlns:a16="http://schemas.microsoft.com/office/drawing/2014/main" id="{E59C2D12-6EF0-40B8-8E38-CAE9A7CDF79B}"/>
            </a:ext>
          </a:extLst>
        </xdr:cNvPr>
        <xdr:cNvSpPr/>
      </xdr:nvSpPr>
      <xdr:spPr>
        <a:xfrm>
          <a:off x="282077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6</xdr:row>
      <xdr:rowOff>99367</xdr:rowOff>
    </xdr:from>
    <xdr:ext cx="0" cy="27940"/>
    <xdr:sp macro="" textlink="">
      <xdr:nvSpPr>
        <xdr:cNvPr id="18" name="Shape 18">
          <a:extLst>
            <a:ext uri="{FF2B5EF4-FFF2-40B4-BE49-F238E27FC236}">
              <a16:creationId xmlns:a16="http://schemas.microsoft.com/office/drawing/2014/main" id="{D6232316-CDB6-486C-A08D-D23C5282284E}"/>
            </a:ext>
          </a:extLst>
        </xdr:cNvPr>
        <xdr:cNvSpPr/>
      </xdr:nvSpPr>
      <xdr:spPr>
        <a:xfrm>
          <a:off x="390142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6</xdr:row>
      <xdr:rowOff>99367</xdr:rowOff>
    </xdr:from>
    <xdr:ext cx="0" cy="27940"/>
    <xdr:sp macro="" textlink="">
      <xdr:nvSpPr>
        <xdr:cNvPr id="19" name="Shape 19">
          <a:extLst>
            <a:ext uri="{FF2B5EF4-FFF2-40B4-BE49-F238E27FC236}">
              <a16:creationId xmlns:a16="http://schemas.microsoft.com/office/drawing/2014/main" id="{3D3B9D58-74DD-4F10-8FD5-488D68FF1C50}"/>
            </a:ext>
          </a:extLst>
        </xdr:cNvPr>
        <xdr:cNvSpPr/>
      </xdr:nvSpPr>
      <xdr:spPr>
        <a:xfrm>
          <a:off x="512231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6</xdr:row>
      <xdr:rowOff>99367</xdr:rowOff>
    </xdr:from>
    <xdr:ext cx="0" cy="27940"/>
    <xdr:sp macro="" textlink="">
      <xdr:nvSpPr>
        <xdr:cNvPr id="20" name="Shape 20">
          <a:extLst>
            <a:ext uri="{FF2B5EF4-FFF2-40B4-BE49-F238E27FC236}">
              <a16:creationId xmlns:a16="http://schemas.microsoft.com/office/drawing/2014/main" id="{7998A186-51C2-4B21-9BAB-92BF3E542F97}"/>
            </a:ext>
          </a:extLst>
        </xdr:cNvPr>
        <xdr:cNvSpPr/>
      </xdr:nvSpPr>
      <xdr:spPr>
        <a:xfrm>
          <a:off x="1285875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6</xdr:row>
      <xdr:rowOff>99367</xdr:rowOff>
    </xdr:from>
    <xdr:ext cx="0" cy="27940"/>
    <xdr:sp macro="" textlink="">
      <xdr:nvSpPr>
        <xdr:cNvPr id="21" name="Shape 21">
          <a:extLst>
            <a:ext uri="{FF2B5EF4-FFF2-40B4-BE49-F238E27FC236}">
              <a16:creationId xmlns:a16="http://schemas.microsoft.com/office/drawing/2014/main" id="{14653306-59C5-4142-A5D2-80305128DBD7}"/>
            </a:ext>
          </a:extLst>
        </xdr:cNvPr>
        <xdr:cNvSpPr/>
      </xdr:nvSpPr>
      <xdr:spPr>
        <a:xfrm>
          <a:off x="2439583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6</xdr:row>
      <xdr:rowOff>99367</xdr:rowOff>
    </xdr:from>
    <xdr:ext cx="0" cy="27940"/>
    <xdr:sp macro="" textlink="">
      <xdr:nvSpPr>
        <xdr:cNvPr id="22" name="Shape 22">
          <a:extLst>
            <a:ext uri="{FF2B5EF4-FFF2-40B4-BE49-F238E27FC236}">
              <a16:creationId xmlns:a16="http://schemas.microsoft.com/office/drawing/2014/main" id="{EA05A40F-BFEB-49D2-A08F-13714A5AA0DE}"/>
            </a:ext>
          </a:extLst>
        </xdr:cNvPr>
        <xdr:cNvSpPr/>
      </xdr:nvSpPr>
      <xdr:spPr>
        <a:xfrm>
          <a:off x="358341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6</xdr:row>
      <xdr:rowOff>99367</xdr:rowOff>
    </xdr:from>
    <xdr:ext cx="0" cy="27940"/>
    <xdr:sp macro="" textlink="">
      <xdr:nvSpPr>
        <xdr:cNvPr id="23" name="Shape 23">
          <a:extLst>
            <a:ext uri="{FF2B5EF4-FFF2-40B4-BE49-F238E27FC236}">
              <a16:creationId xmlns:a16="http://schemas.microsoft.com/office/drawing/2014/main" id="{63ACD0C1-133E-4EA9-907B-A631CA31B79D}"/>
            </a:ext>
          </a:extLst>
        </xdr:cNvPr>
        <xdr:cNvSpPr/>
      </xdr:nvSpPr>
      <xdr:spPr>
        <a:xfrm>
          <a:off x="4352461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5</xdr:row>
      <xdr:rowOff>99277</xdr:rowOff>
    </xdr:from>
    <xdr:ext cx="0" cy="27940"/>
    <xdr:sp macro="" textlink="">
      <xdr:nvSpPr>
        <xdr:cNvPr id="24" name="Shape 24">
          <a:extLst>
            <a:ext uri="{FF2B5EF4-FFF2-40B4-BE49-F238E27FC236}">
              <a16:creationId xmlns:a16="http://schemas.microsoft.com/office/drawing/2014/main" id="{5D3E9776-B58B-4F1F-9803-D81247BF8A2C}"/>
            </a:ext>
          </a:extLst>
        </xdr:cNvPr>
        <xdr:cNvSpPr/>
      </xdr:nvSpPr>
      <xdr:spPr>
        <a:xfrm>
          <a:off x="205809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5</xdr:row>
      <xdr:rowOff>99277</xdr:rowOff>
    </xdr:from>
    <xdr:ext cx="0" cy="27940"/>
    <xdr:sp macro="" textlink="">
      <xdr:nvSpPr>
        <xdr:cNvPr id="25" name="Shape 25">
          <a:extLst>
            <a:ext uri="{FF2B5EF4-FFF2-40B4-BE49-F238E27FC236}">
              <a16:creationId xmlns:a16="http://schemas.microsoft.com/office/drawing/2014/main" id="{DD7F56E6-F384-4F16-9A5C-573823D76C85}"/>
            </a:ext>
          </a:extLst>
        </xdr:cNvPr>
        <xdr:cNvSpPr/>
      </xdr:nvSpPr>
      <xdr:spPr>
        <a:xfrm>
          <a:off x="320984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5</xdr:row>
      <xdr:rowOff>99277</xdr:rowOff>
    </xdr:from>
    <xdr:ext cx="0" cy="27940"/>
    <xdr:sp macro="" textlink="">
      <xdr:nvSpPr>
        <xdr:cNvPr id="26" name="Shape 26">
          <a:extLst>
            <a:ext uri="{FF2B5EF4-FFF2-40B4-BE49-F238E27FC236}">
              <a16:creationId xmlns:a16="http://schemas.microsoft.com/office/drawing/2014/main" id="{E8FB94E6-471D-4DBE-AE20-93D32D8A6348}"/>
            </a:ext>
          </a:extLst>
        </xdr:cNvPr>
        <xdr:cNvSpPr/>
      </xdr:nvSpPr>
      <xdr:spPr>
        <a:xfrm>
          <a:off x="473262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5</xdr:row>
      <xdr:rowOff>99277</xdr:rowOff>
    </xdr:from>
    <xdr:ext cx="0" cy="27940"/>
    <xdr:sp macro="" textlink="">
      <xdr:nvSpPr>
        <xdr:cNvPr id="27" name="Shape 27">
          <a:extLst>
            <a:ext uri="{FF2B5EF4-FFF2-40B4-BE49-F238E27FC236}">
              <a16:creationId xmlns:a16="http://schemas.microsoft.com/office/drawing/2014/main" id="{5EB0C282-B938-4856-A8A1-213A3693BB23}"/>
            </a:ext>
          </a:extLst>
        </xdr:cNvPr>
        <xdr:cNvSpPr/>
      </xdr:nvSpPr>
      <xdr:spPr>
        <a:xfrm>
          <a:off x="1667078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5</xdr:row>
      <xdr:rowOff>99277</xdr:rowOff>
    </xdr:from>
    <xdr:ext cx="0" cy="27940"/>
    <xdr:sp macro="" textlink="">
      <xdr:nvSpPr>
        <xdr:cNvPr id="28" name="Shape 28">
          <a:extLst>
            <a:ext uri="{FF2B5EF4-FFF2-40B4-BE49-F238E27FC236}">
              <a16:creationId xmlns:a16="http://schemas.microsoft.com/office/drawing/2014/main" id="{CAFB572D-3D79-4E31-ABA7-74B196D2DE5D}"/>
            </a:ext>
          </a:extLst>
        </xdr:cNvPr>
        <xdr:cNvSpPr/>
      </xdr:nvSpPr>
      <xdr:spPr>
        <a:xfrm>
          <a:off x="282077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5</xdr:row>
      <xdr:rowOff>99277</xdr:rowOff>
    </xdr:from>
    <xdr:ext cx="0" cy="27940"/>
    <xdr:sp macro="" textlink="">
      <xdr:nvSpPr>
        <xdr:cNvPr id="29" name="Shape 29">
          <a:extLst>
            <a:ext uri="{FF2B5EF4-FFF2-40B4-BE49-F238E27FC236}">
              <a16:creationId xmlns:a16="http://schemas.microsoft.com/office/drawing/2014/main" id="{79C3542E-3EB9-4761-85C3-A98F1DC8BB17}"/>
            </a:ext>
          </a:extLst>
        </xdr:cNvPr>
        <xdr:cNvSpPr/>
      </xdr:nvSpPr>
      <xdr:spPr>
        <a:xfrm>
          <a:off x="390142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5</xdr:row>
      <xdr:rowOff>99277</xdr:rowOff>
    </xdr:from>
    <xdr:ext cx="0" cy="27940"/>
    <xdr:sp macro="" textlink="">
      <xdr:nvSpPr>
        <xdr:cNvPr id="30" name="Shape 30">
          <a:extLst>
            <a:ext uri="{FF2B5EF4-FFF2-40B4-BE49-F238E27FC236}">
              <a16:creationId xmlns:a16="http://schemas.microsoft.com/office/drawing/2014/main" id="{65B70B53-844A-472D-8C86-9DEB3E71D0D8}"/>
            </a:ext>
          </a:extLst>
        </xdr:cNvPr>
        <xdr:cNvSpPr/>
      </xdr:nvSpPr>
      <xdr:spPr>
        <a:xfrm>
          <a:off x="512231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5</xdr:row>
      <xdr:rowOff>99277</xdr:rowOff>
    </xdr:from>
    <xdr:ext cx="0" cy="27940"/>
    <xdr:sp macro="" textlink="">
      <xdr:nvSpPr>
        <xdr:cNvPr id="31" name="Shape 31">
          <a:extLst>
            <a:ext uri="{FF2B5EF4-FFF2-40B4-BE49-F238E27FC236}">
              <a16:creationId xmlns:a16="http://schemas.microsoft.com/office/drawing/2014/main" id="{B0E73014-1C60-403B-8862-7CE11868807C}"/>
            </a:ext>
          </a:extLst>
        </xdr:cNvPr>
        <xdr:cNvSpPr/>
      </xdr:nvSpPr>
      <xdr:spPr>
        <a:xfrm>
          <a:off x="1285875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5</xdr:row>
      <xdr:rowOff>99277</xdr:rowOff>
    </xdr:from>
    <xdr:ext cx="0" cy="27940"/>
    <xdr:sp macro="" textlink="">
      <xdr:nvSpPr>
        <xdr:cNvPr id="32" name="Shape 32">
          <a:extLst>
            <a:ext uri="{FF2B5EF4-FFF2-40B4-BE49-F238E27FC236}">
              <a16:creationId xmlns:a16="http://schemas.microsoft.com/office/drawing/2014/main" id="{763F42C7-1E7A-47D4-9CF9-25A9CBF0906A}"/>
            </a:ext>
          </a:extLst>
        </xdr:cNvPr>
        <xdr:cNvSpPr/>
      </xdr:nvSpPr>
      <xdr:spPr>
        <a:xfrm>
          <a:off x="2439583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5</xdr:row>
      <xdr:rowOff>99277</xdr:rowOff>
    </xdr:from>
    <xdr:ext cx="0" cy="27940"/>
    <xdr:sp macro="" textlink="">
      <xdr:nvSpPr>
        <xdr:cNvPr id="33" name="Shape 33">
          <a:extLst>
            <a:ext uri="{FF2B5EF4-FFF2-40B4-BE49-F238E27FC236}">
              <a16:creationId xmlns:a16="http://schemas.microsoft.com/office/drawing/2014/main" id="{8C00D449-A539-48B0-A3DA-766CCDC687A4}"/>
            </a:ext>
          </a:extLst>
        </xdr:cNvPr>
        <xdr:cNvSpPr/>
      </xdr:nvSpPr>
      <xdr:spPr>
        <a:xfrm>
          <a:off x="358341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5</xdr:row>
      <xdr:rowOff>99277</xdr:rowOff>
    </xdr:from>
    <xdr:ext cx="0" cy="27940"/>
    <xdr:sp macro="" textlink="">
      <xdr:nvSpPr>
        <xdr:cNvPr id="34" name="Shape 34">
          <a:extLst>
            <a:ext uri="{FF2B5EF4-FFF2-40B4-BE49-F238E27FC236}">
              <a16:creationId xmlns:a16="http://schemas.microsoft.com/office/drawing/2014/main" id="{23E13C08-576F-4EE3-AEFB-8CDBB6C0125D}"/>
            </a:ext>
          </a:extLst>
        </xdr:cNvPr>
        <xdr:cNvSpPr/>
      </xdr:nvSpPr>
      <xdr:spPr>
        <a:xfrm>
          <a:off x="4352461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7</xdr:row>
      <xdr:rowOff>99457</xdr:rowOff>
    </xdr:from>
    <xdr:ext cx="0" cy="27940"/>
    <xdr:sp macro="" textlink="">
      <xdr:nvSpPr>
        <xdr:cNvPr id="35" name="Shape 35">
          <a:extLst>
            <a:ext uri="{FF2B5EF4-FFF2-40B4-BE49-F238E27FC236}">
              <a16:creationId xmlns:a16="http://schemas.microsoft.com/office/drawing/2014/main" id="{5E81262F-367F-4D18-AE61-2935EB179F3E}"/>
            </a:ext>
          </a:extLst>
        </xdr:cNvPr>
        <xdr:cNvSpPr/>
      </xdr:nvSpPr>
      <xdr:spPr>
        <a:xfrm>
          <a:off x="205809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7</xdr:row>
      <xdr:rowOff>99457</xdr:rowOff>
    </xdr:from>
    <xdr:ext cx="0" cy="27940"/>
    <xdr:sp macro="" textlink="">
      <xdr:nvSpPr>
        <xdr:cNvPr id="36" name="Shape 36">
          <a:extLst>
            <a:ext uri="{FF2B5EF4-FFF2-40B4-BE49-F238E27FC236}">
              <a16:creationId xmlns:a16="http://schemas.microsoft.com/office/drawing/2014/main" id="{5623F5C7-6D8E-4470-A1A2-2A62C92627B4}"/>
            </a:ext>
          </a:extLst>
        </xdr:cNvPr>
        <xdr:cNvSpPr/>
      </xdr:nvSpPr>
      <xdr:spPr>
        <a:xfrm>
          <a:off x="320984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7</xdr:row>
      <xdr:rowOff>99457</xdr:rowOff>
    </xdr:from>
    <xdr:ext cx="0" cy="27940"/>
    <xdr:sp macro="" textlink="">
      <xdr:nvSpPr>
        <xdr:cNvPr id="37" name="Shape 37">
          <a:extLst>
            <a:ext uri="{FF2B5EF4-FFF2-40B4-BE49-F238E27FC236}">
              <a16:creationId xmlns:a16="http://schemas.microsoft.com/office/drawing/2014/main" id="{0FEC5B12-5E73-4E62-A0B3-1499F9A38756}"/>
            </a:ext>
          </a:extLst>
        </xdr:cNvPr>
        <xdr:cNvSpPr/>
      </xdr:nvSpPr>
      <xdr:spPr>
        <a:xfrm>
          <a:off x="473262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7</xdr:row>
      <xdr:rowOff>99457</xdr:rowOff>
    </xdr:from>
    <xdr:ext cx="0" cy="27940"/>
    <xdr:sp macro="" textlink="">
      <xdr:nvSpPr>
        <xdr:cNvPr id="38" name="Shape 38">
          <a:extLst>
            <a:ext uri="{FF2B5EF4-FFF2-40B4-BE49-F238E27FC236}">
              <a16:creationId xmlns:a16="http://schemas.microsoft.com/office/drawing/2014/main" id="{F5FC5029-4FAD-4E50-97F4-21B1A078E786}"/>
            </a:ext>
          </a:extLst>
        </xdr:cNvPr>
        <xdr:cNvSpPr/>
      </xdr:nvSpPr>
      <xdr:spPr>
        <a:xfrm>
          <a:off x="1667078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7</xdr:row>
      <xdr:rowOff>99457</xdr:rowOff>
    </xdr:from>
    <xdr:ext cx="0" cy="27940"/>
    <xdr:sp macro="" textlink="">
      <xdr:nvSpPr>
        <xdr:cNvPr id="39" name="Shape 39">
          <a:extLst>
            <a:ext uri="{FF2B5EF4-FFF2-40B4-BE49-F238E27FC236}">
              <a16:creationId xmlns:a16="http://schemas.microsoft.com/office/drawing/2014/main" id="{08E4B058-32ED-49E5-A26F-E49370221DB4}"/>
            </a:ext>
          </a:extLst>
        </xdr:cNvPr>
        <xdr:cNvSpPr/>
      </xdr:nvSpPr>
      <xdr:spPr>
        <a:xfrm>
          <a:off x="282077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7</xdr:row>
      <xdr:rowOff>99457</xdr:rowOff>
    </xdr:from>
    <xdr:ext cx="0" cy="27940"/>
    <xdr:sp macro="" textlink="">
      <xdr:nvSpPr>
        <xdr:cNvPr id="40" name="Shape 40">
          <a:extLst>
            <a:ext uri="{FF2B5EF4-FFF2-40B4-BE49-F238E27FC236}">
              <a16:creationId xmlns:a16="http://schemas.microsoft.com/office/drawing/2014/main" id="{AB5172D6-DFE5-4EC2-8641-D46EB0871281}"/>
            </a:ext>
          </a:extLst>
        </xdr:cNvPr>
        <xdr:cNvSpPr/>
      </xdr:nvSpPr>
      <xdr:spPr>
        <a:xfrm>
          <a:off x="390142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7</xdr:row>
      <xdr:rowOff>99457</xdr:rowOff>
    </xdr:from>
    <xdr:ext cx="0" cy="27940"/>
    <xdr:sp macro="" textlink="">
      <xdr:nvSpPr>
        <xdr:cNvPr id="41" name="Shape 41">
          <a:extLst>
            <a:ext uri="{FF2B5EF4-FFF2-40B4-BE49-F238E27FC236}">
              <a16:creationId xmlns:a16="http://schemas.microsoft.com/office/drawing/2014/main" id="{FCD650DD-4502-4299-A554-425DD843E4F2}"/>
            </a:ext>
          </a:extLst>
        </xdr:cNvPr>
        <xdr:cNvSpPr/>
      </xdr:nvSpPr>
      <xdr:spPr>
        <a:xfrm>
          <a:off x="512231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7</xdr:row>
      <xdr:rowOff>99457</xdr:rowOff>
    </xdr:from>
    <xdr:ext cx="0" cy="27940"/>
    <xdr:sp macro="" textlink="">
      <xdr:nvSpPr>
        <xdr:cNvPr id="42" name="Shape 42">
          <a:extLst>
            <a:ext uri="{FF2B5EF4-FFF2-40B4-BE49-F238E27FC236}">
              <a16:creationId xmlns:a16="http://schemas.microsoft.com/office/drawing/2014/main" id="{A2987A83-0FC4-48B9-9613-59D14CFF3E4C}"/>
            </a:ext>
          </a:extLst>
        </xdr:cNvPr>
        <xdr:cNvSpPr/>
      </xdr:nvSpPr>
      <xdr:spPr>
        <a:xfrm>
          <a:off x="1285875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7</xdr:row>
      <xdr:rowOff>99457</xdr:rowOff>
    </xdr:from>
    <xdr:ext cx="0" cy="27940"/>
    <xdr:sp macro="" textlink="">
      <xdr:nvSpPr>
        <xdr:cNvPr id="43" name="Shape 43">
          <a:extLst>
            <a:ext uri="{FF2B5EF4-FFF2-40B4-BE49-F238E27FC236}">
              <a16:creationId xmlns:a16="http://schemas.microsoft.com/office/drawing/2014/main" id="{8D66A404-9AAA-48FE-A8E2-7A4E485BCE44}"/>
            </a:ext>
          </a:extLst>
        </xdr:cNvPr>
        <xdr:cNvSpPr/>
      </xdr:nvSpPr>
      <xdr:spPr>
        <a:xfrm>
          <a:off x="2439583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7</xdr:row>
      <xdr:rowOff>99457</xdr:rowOff>
    </xdr:from>
    <xdr:ext cx="0" cy="27940"/>
    <xdr:sp macro="" textlink="">
      <xdr:nvSpPr>
        <xdr:cNvPr id="44" name="Shape 44">
          <a:extLst>
            <a:ext uri="{FF2B5EF4-FFF2-40B4-BE49-F238E27FC236}">
              <a16:creationId xmlns:a16="http://schemas.microsoft.com/office/drawing/2014/main" id="{BB8D4CE7-20A1-4798-80AC-E8ADCC0B58E3}"/>
            </a:ext>
          </a:extLst>
        </xdr:cNvPr>
        <xdr:cNvSpPr/>
      </xdr:nvSpPr>
      <xdr:spPr>
        <a:xfrm>
          <a:off x="358341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7</xdr:row>
      <xdr:rowOff>99457</xdr:rowOff>
    </xdr:from>
    <xdr:ext cx="0" cy="27940"/>
    <xdr:sp macro="" textlink="">
      <xdr:nvSpPr>
        <xdr:cNvPr id="45" name="Shape 45">
          <a:extLst>
            <a:ext uri="{FF2B5EF4-FFF2-40B4-BE49-F238E27FC236}">
              <a16:creationId xmlns:a16="http://schemas.microsoft.com/office/drawing/2014/main" id="{0E7471D7-1E77-4D94-9836-538F21D5988A}"/>
            </a:ext>
          </a:extLst>
        </xdr:cNvPr>
        <xdr:cNvSpPr/>
      </xdr:nvSpPr>
      <xdr:spPr>
        <a:xfrm>
          <a:off x="4352461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8</xdr:row>
      <xdr:rowOff>99545</xdr:rowOff>
    </xdr:from>
    <xdr:ext cx="0" cy="27940"/>
    <xdr:sp macro="" textlink="">
      <xdr:nvSpPr>
        <xdr:cNvPr id="46" name="Shape 46">
          <a:extLst>
            <a:ext uri="{FF2B5EF4-FFF2-40B4-BE49-F238E27FC236}">
              <a16:creationId xmlns:a16="http://schemas.microsoft.com/office/drawing/2014/main" id="{1C88382A-7727-4E6A-81EE-717056C18D74}"/>
            </a:ext>
          </a:extLst>
        </xdr:cNvPr>
        <xdr:cNvSpPr/>
      </xdr:nvSpPr>
      <xdr:spPr>
        <a:xfrm>
          <a:off x="2058090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8</xdr:row>
      <xdr:rowOff>99545</xdr:rowOff>
    </xdr:from>
    <xdr:ext cx="0" cy="27940"/>
    <xdr:sp macro="" textlink="">
      <xdr:nvSpPr>
        <xdr:cNvPr id="47" name="Shape 47">
          <a:extLst>
            <a:ext uri="{FF2B5EF4-FFF2-40B4-BE49-F238E27FC236}">
              <a16:creationId xmlns:a16="http://schemas.microsoft.com/office/drawing/2014/main" id="{1989F65B-58E5-4BD2-B460-310A3388D675}"/>
            </a:ext>
          </a:extLst>
        </xdr:cNvPr>
        <xdr:cNvSpPr/>
      </xdr:nvSpPr>
      <xdr:spPr>
        <a:xfrm>
          <a:off x="320984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8</xdr:row>
      <xdr:rowOff>99545</xdr:rowOff>
    </xdr:from>
    <xdr:ext cx="0" cy="27940"/>
    <xdr:sp macro="" textlink="">
      <xdr:nvSpPr>
        <xdr:cNvPr id="48" name="Shape 48">
          <a:extLst>
            <a:ext uri="{FF2B5EF4-FFF2-40B4-BE49-F238E27FC236}">
              <a16:creationId xmlns:a16="http://schemas.microsoft.com/office/drawing/2014/main" id="{EE8A5C7E-4F63-44D5-AFAA-35B4122ABAC8}"/>
            </a:ext>
          </a:extLst>
        </xdr:cNvPr>
        <xdr:cNvSpPr/>
      </xdr:nvSpPr>
      <xdr:spPr>
        <a:xfrm>
          <a:off x="4732524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8</xdr:row>
      <xdr:rowOff>99545</xdr:rowOff>
    </xdr:from>
    <xdr:ext cx="0" cy="27940"/>
    <xdr:sp macro="" textlink="">
      <xdr:nvSpPr>
        <xdr:cNvPr id="49" name="Shape 49">
          <a:extLst>
            <a:ext uri="{FF2B5EF4-FFF2-40B4-BE49-F238E27FC236}">
              <a16:creationId xmlns:a16="http://schemas.microsoft.com/office/drawing/2014/main" id="{7355B8B3-DD4C-4BD4-8FA4-6F84D9A5C150}"/>
            </a:ext>
          </a:extLst>
        </xdr:cNvPr>
        <xdr:cNvSpPr/>
      </xdr:nvSpPr>
      <xdr:spPr>
        <a:xfrm>
          <a:off x="1667078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8</xdr:row>
      <xdr:rowOff>99545</xdr:rowOff>
    </xdr:from>
    <xdr:ext cx="0" cy="27940"/>
    <xdr:sp macro="" textlink="">
      <xdr:nvSpPr>
        <xdr:cNvPr id="50" name="Shape 50">
          <a:extLst>
            <a:ext uri="{FF2B5EF4-FFF2-40B4-BE49-F238E27FC236}">
              <a16:creationId xmlns:a16="http://schemas.microsoft.com/office/drawing/2014/main" id="{14FA9A00-DC5C-47A9-8D22-8887BF4DCD58}"/>
            </a:ext>
          </a:extLst>
        </xdr:cNvPr>
        <xdr:cNvSpPr/>
      </xdr:nvSpPr>
      <xdr:spPr>
        <a:xfrm>
          <a:off x="282077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8</xdr:row>
      <xdr:rowOff>99545</xdr:rowOff>
    </xdr:from>
    <xdr:ext cx="0" cy="27940"/>
    <xdr:sp macro="" textlink="">
      <xdr:nvSpPr>
        <xdr:cNvPr id="51" name="Shape 51">
          <a:extLst>
            <a:ext uri="{FF2B5EF4-FFF2-40B4-BE49-F238E27FC236}">
              <a16:creationId xmlns:a16="http://schemas.microsoft.com/office/drawing/2014/main" id="{3CF418E0-59F8-4B0B-A56B-263E668D9577}"/>
            </a:ext>
          </a:extLst>
        </xdr:cNvPr>
        <xdr:cNvSpPr/>
      </xdr:nvSpPr>
      <xdr:spPr>
        <a:xfrm>
          <a:off x="390142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8</xdr:row>
      <xdr:rowOff>99545</xdr:rowOff>
    </xdr:from>
    <xdr:ext cx="0" cy="27940"/>
    <xdr:sp macro="" textlink="">
      <xdr:nvSpPr>
        <xdr:cNvPr id="52" name="Shape 52">
          <a:extLst>
            <a:ext uri="{FF2B5EF4-FFF2-40B4-BE49-F238E27FC236}">
              <a16:creationId xmlns:a16="http://schemas.microsoft.com/office/drawing/2014/main" id="{370F246B-D419-4F05-9C92-444BEE57EF2F}"/>
            </a:ext>
          </a:extLst>
        </xdr:cNvPr>
        <xdr:cNvSpPr/>
      </xdr:nvSpPr>
      <xdr:spPr>
        <a:xfrm>
          <a:off x="512231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8</xdr:row>
      <xdr:rowOff>99545</xdr:rowOff>
    </xdr:from>
    <xdr:ext cx="0" cy="27940"/>
    <xdr:sp macro="" textlink="">
      <xdr:nvSpPr>
        <xdr:cNvPr id="53" name="Shape 53">
          <a:extLst>
            <a:ext uri="{FF2B5EF4-FFF2-40B4-BE49-F238E27FC236}">
              <a16:creationId xmlns:a16="http://schemas.microsoft.com/office/drawing/2014/main" id="{3920DEDD-E5CF-42D4-B7EA-4BE440FCE2D5}"/>
            </a:ext>
          </a:extLst>
        </xdr:cNvPr>
        <xdr:cNvSpPr/>
      </xdr:nvSpPr>
      <xdr:spPr>
        <a:xfrm>
          <a:off x="374959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8</xdr:row>
      <xdr:rowOff>99545</xdr:rowOff>
    </xdr:from>
    <xdr:ext cx="0" cy="27940"/>
    <xdr:sp macro="" textlink="">
      <xdr:nvSpPr>
        <xdr:cNvPr id="54" name="Shape 54">
          <a:extLst>
            <a:ext uri="{FF2B5EF4-FFF2-40B4-BE49-F238E27FC236}">
              <a16:creationId xmlns:a16="http://schemas.microsoft.com/office/drawing/2014/main" id="{B74EC3A9-A4D9-4978-91B6-DEA10739E5C9}"/>
            </a:ext>
          </a:extLst>
        </xdr:cNvPr>
        <xdr:cNvSpPr/>
      </xdr:nvSpPr>
      <xdr:spPr>
        <a:xfrm>
          <a:off x="2439583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8</xdr:row>
      <xdr:rowOff>99545</xdr:rowOff>
    </xdr:from>
    <xdr:ext cx="0" cy="27940"/>
    <xdr:sp macro="" textlink="">
      <xdr:nvSpPr>
        <xdr:cNvPr id="55" name="Shape 55">
          <a:extLst>
            <a:ext uri="{FF2B5EF4-FFF2-40B4-BE49-F238E27FC236}">
              <a16:creationId xmlns:a16="http://schemas.microsoft.com/office/drawing/2014/main" id="{636590C5-96EC-4BE6-87F4-07588D8D8AF9}"/>
            </a:ext>
          </a:extLst>
        </xdr:cNvPr>
        <xdr:cNvSpPr/>
      </xdr:nvSpPr>
      <xdr:spPr>
        <a:xfrm>
          <a:off x="3583410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8</xdr:row>
      <xdr:rowOff>99545</xdr:rowOff>
    </xdr:from>
    <xdr:ext cx="0" cy="27940"/>
    <xdr:sp macro="" textlink="">
      <xdr:nvSpPr>
        <xdr:cNvPr id="56" name="Shape 56">
          <a:extLst>
            <a:ext uri="{FF2B5EF4-FFF2-40B4-BE49-F238E27FC236}">
              <a16:creationId xmlns:a16="http://schemas.microsoft.com/office/drawing/2014/main" id="{61A20D49-664E-4CC4-BD03-FDEC74E03C7A}"/>
            </a:ext>
          </a:extLst>
        </xdr:cNvPr>
        <xdr:cNvSpPr/>
      </xdr:nvSpPr>
      <xdr:spPr>
        <a:xfrm>
          <a:off x="4352461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10</xdr:row>
      <xdr:rowOff>99720</xdr:rowOff>
    </xdr:from>
    <xdr:ext cx="0" cy="27940"/>
    <xdr:sp macro="" textlink="">
      <xdr:nvSpPr>
        <xdr:cNvPr id="57" name="Shape 57">
          <a:extLst>
            <a:ext uri="{FF2B5EF4-FFF2-40B4-BE49-F238E27FC236}">
              <a16:creationId xmlns:a16="http://schemas.microsoft.com/office/drawing/2014/main" id="{7CE2BC9A-C1DC-4273-A1D0-D4E2C8FD346A}"/>
            </a:ext>
          </a:extLst>
        </xdr:cNvPr>
        <xdr:cNvSpPr/>
      </xdr:nvSpPr>
      <xdr:spPr>
        <a:xfrm>
          <a:off x="2058090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10</xdr:row>
      <xdr:rowOff>99720</xdr:rowOff>
    </xdr:from>
    <xdr:ext cx="0" cy="27940"/>
    <xdr:sp macro="" textlink="">
      <xdr:nvSpPr>
        <xdr:cNvPr id="58" name="Shape 58">
          <a:extLst>
            <a:ext uri="{FF2B5EF4-FFF2-40B4-BE49-F238E27FC236}">
              <a16:creationId xmlns:a16="http://schemas.microsoft.com/office/drawing/2014/main" id="{07F85EAA-0DF8-48C8-A897-B57C9BD77753}"/>
            </a:ext>
          </a:extLst>
        </xdr:cNvPr>
        <xdr:cNvSpPr/>
      </xdr:nvSpPr>
      <xdr:spPr>
        <a:xfrm>
          <a:off x="320984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10</xdr:row>
      <xdr:rowOff>99720</xdr:rowOff>
    </xdr:from>
    <xdr:ext cx="0" cy="27940"/>
    <xdr:sp macro="" textlink="">
      <xdr:nvSpPr>
        <xdr:cNvPr id="59" name="Shape 59">
          <a:extLst>
            <a:ext uri="{FF2B5EF4-FFF2-40B4-BE49-F238E27FC236}">
              <a16:creationId xmlns:a16="http://schemas.microsoft.com/office/drawing/2014/main" id="{497A56A1-B865-451D-96BC-371D1DB052A0}"/>
            </a:ext>
          </a:extLst>
        </xdr:cNvPr>
        <xdr:cNvSpPr/>
      </xdr:nvSpPr>
      <xdr:spPr>
        <a:xfrm>
          <a:off x="4732524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10</xdr:row>
      <xdr:rowOff>99720</xdr:rowOff>
    </xdr:from>
    <xdr:ext cx="0" cy="27940"/>
    <xdr:sp macro="" textlink="">
      <xdr:nvSpPr>
        <xdr:cNvPr id="60" name="Shape 60">
          <a:extLst>
            <a:ext uri="{FF2B5EF4-FFF2-40B4-BE49-F238E27FC236}">
              <a16:creationId xmlns:a16="http://schemas.microsoft.com/office/drawing/2014/main" id="{979487B2-3958-40D6-B6CD-2C655D2BE0F2}"/>
            </a:ext>
          </a:extLst>
        </xdr:cNvPr>
        <xdr:cNvSpPr/>
      </xdr:nvSpPr>
      <xdr:spPr>
        <a:xfrm>
          <a:off x="1667078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10</xdr:row>
      <xdr:rowOff>99720</xdr:rowOff>
    </xdr:from>
    <xdr:ext cx="0" cy="27940"/>
    <xdr:sp macro="" textlink="">
      <xdr:nvSpPr>
        <xdr:cNvPr id="61" name="Shape 61">
          <a:extLst>
            <a:ext uri="{FF2B5EF4-FFF2-40B4-BE49-F238E27FC236}">
              <a16:creationId xmlns:a16="http://schemas.microsoft.com/office/drawing/2014/main" id="{B54A4EF1-3DBE-40AC-8D22-D26ED9E3423A}"/>
            </a:ext>
          </a:extLst>
        </xdr:cNvPr>
        <xdr:cNvSpPr/>
      </xdr:nvSpPr>
      <xdr:spPr>
        <a:xfrm>
          <a:off x="282077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10</xdr:row>
      <xdr:rowOff>99720</xdr:rowOff>
    </xdr:from>
    <xdr:ext cx="0" cy="27940"/>
    <xdr:sp macro="" textlink="">
      <xdr:nvSpPr>
        <xdr:cNvPr id="62" name="Shape 62">
          <a:extLst>
            <a:ext uri="{FF2B5EF4-FFF2-40B4-BE49-F238E27FC236}">
              <a16:creationId xmlns:a16="http://schemas.microsoft.com/office/drawing/2014/main" id="{F99F8C53-04EF-46F9-B171-CC9FC3A5B178}"/>
            </a:ext>
          </a:extLst>
        </xdr:cNvPr>
        <xdr:cNvSpPr/>
      </xdr:nvSpPr>
      <xdr:spPr>
        <a:xfrm>
          <a:off x="390142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10</xdr:row>
      <xdr:rowOff>99720</xdr:rowOff>
    </xdr:from>
    <xdr:ext cx="0" cy="27940"/>
    <xdr:sp macro="" textlink="">
      <xdr:nvSpPr>
        <xdr:cNvPr id="63" name="Shape 63">
          <a:extLst>
            <a:ext uri="{FF2B5EF4-FFF2-40B4-BE49-F238E27FC236}">
              <a16:creationId xmlns:a16="http://schemas.microsoft.com/office/drawing/2014/main" id="{E3DC79C8-3883-48B2-B055-F9E49A78AE9C}"/>
            </a:ext>
          </a:extLst>
        </xdr:cNvPr>
        <xdr:cNvSpPr/>
      </xdr:nvSpPr>
      <xdr:spPr>
        <a:xfrm>
          <a:off x="512231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99720</xdr:rowOff>
    </xdr:from>
    <xdr:ext cx="0" cy="27940"/>
    <xdr:sp macro="" textlink="">
      <xdr:nvSpPr>
        <xdr:cNvPr id="64" name="Shape 64">
          <a:extLst>
            <a:ext uri="{FF2B5EF4-FFF2-40B4-BE49-F238E27FC236}">
              <a16:creationId xmlns:a16="http://schemas.microsoft.com/office/drawing/2014/main" id="{E4BA7D74-B529-4493-A4F4-0CE77CACAFD6}"/>
            </a:ext>
          </a:extLst>
        </xdr:cNvPr>
        <xdr:cNvSpPr/>
      </xdr:nvSpPr>
      <xdr:spPr>
        <a:xfrm>
          <a:off x="374959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10</xdr:row>
      <xdr:rowOff>99720</xdr:rowOff>
    </xdr:from>
    <xdr:ext cx="0" cy="27940"/>
    <xdr:sp macro="" textlink="">
      <xdr:nvSpPr>
        <xdr:cNvPr id="65" name="Shape 65">
          <a:extLst>
            <a:ext uri="{FF2B5EF4-FFF2-40B4-BE49-F238E27FC236}">
              <a16:creationId xmlns:a16="http://schemas.microsoft.com/office/drawing/2014/main" id="{740F1389-0198-4561-BF18-2914BD258AE4}"/>
            </a:ext>
          </a:extLst>
        </xdr:cNvPr>
        <xdr:cNvSpPr/>
      </xdr:nvSpPr>
      <xdr:spPr>
        <a:xfrm>
          <a:off x="2439583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10</xdr:row>
      <xdr:rowOff>99720</xdr:rowOff>
    </xdr:from>
    <xdr:ext cx="0" cy="27940"/>
    <xdr:sp macro="" textlink="">
      <xdr:nvSpPr>
        <xdr:cNvPr id="66" name="Shape 66">
          <a:extLst>
            <a:ext uri="{FF2B5EF4-FFF2-40B4-BE49-F238E27FC236}">
              <a16:creationId xmlns:a16="http://schemas.microsoft.com/office/drawing/2014/main" id="{E2F9CD8F-85A4-45B0-9E7F-64C7B531CBD9}"/>
            </a:ext>
          </a:extLst>
        </xdr:cNvPr>
        <xdr:cNvSpPr/>
      </xdr:nvSpPr>
      <xdr:spPr>
        <a:xfrm>
          <a:off x="3583410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10</xdr:row>
      <xdr:rowOff>99720</xdr:rowOff>
    </xdr:from>
    <xdr:ext cx="0" cy="27940"/>
    <xdr:sp macro="" textlink="">
      <xdr:nvSpPr>
        <xdr:cNvPr id="67" name="Shape 67">
          <a:extLst>
            <a:ext uri="{FF2B5EF4-FFF2-40B4-BE49-F238E27FC236}">
              <a16:creationId xmlns:a16="http://schemas.microsoft.com/office/drawing/2014/main" id="{DA08F63C-90B8-4017-9503-2BDF46956056}"/>
            </a:ext>
          </a:extLst>
        </xdr:cNvPr>
        <xdr:cNvSpPr/>
      </xdr:nvSpPr>
      <xdr:spPr>
        <a:xfrm>
          <a:off x="4352461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9</xdr:row>
      <xdr:rowOff>99634</xdr:rowOff>
    </xdr:from>
    <xdr:ext cx="0" cy="27940"/>
    <xdr:sp macro="" textlink="">
      <xdr:nvSpPr>
        <xdr:cNvPr id="68" name="Shape 68">
          <a:extLst>
            <a:ext uri="{FF2B5EF4-FFF2-40B4-BE49-F238E27FC236}">
              <a16:creationId xmlns:a16="http://schemas.microsoft.com/office/drawing/2014/main" id="{BABBCEB6-5AF3-4004-B38E-0E26C409CAC5}"/>
            </a:ext>
          </a:extLst>
        </xdr:cNvPr>
        <xdr:cNvSpPr/>
      </xdr:nvSpPr>
      <xdr:spPr>
        <a:xfrm>
          <a:off x="2058090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9</xdr:row>
      <xdr:rowOff>99634</xdr:rowOff>
    </xdr:from>
    <xdr:ext cx="0" cy="27940"/>
    <xdr:sp macro="" textlink="">
      <xdr:nvSpPr>
        <xdr:cNvPr id="69" name="Shape 69">
          <a:extLst>
            <a:ext uri="{FF2B5EF4-FFF2-40B4-BE49-F238E27FC236}">
              <a16:creationId xmlns:a16="http://schemas.microsoft.com/office/drawing/2014/main" id="{947FD42B-F50B-4F35-B887-9E8B03627C39}"/>
            </a:ext>
          </a:extLst>
        </xdr:cNvPr>
        <xdr:cNvSpPr/>
      </xdr:nvSpPr>
      <xdr:spPr>
        <a:xfrm>
          <a:off x="320984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9</xdr:row>
      <xdr:rowOff>99634</xdr:rowOff>
    </xdr:from>
    <xdr:ext cx="0" cy="27940"/>
    <xdr:sp macro="" textlink="">
      <xdr:nvSpPr>
        <xdr:cNvPr id="70" name="Shape 70">
          <a:extLst>
            <a:ext uri="{FF2B5EF4-FFF2-40B4-BE49-F238E27FC236}">
              <a16:creationId xmlns:a16="http://schemas.microsoft.com/office/drawing/2014/main" id="{CE482DFF-D803-42F3-B19A-EB2B07C3A45B}"/>
            </a:ext>
          </a:extLst>
        </xdr:cNvPr>
        <xdr:cNvSpPr/>
      </xdr:nvSpPr>
      <xdr:spPr>
        <a:xfrm>
          <a:off x="4732524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9</xdr:row>
      <xdr:rowOff>99634</xdr:rowOff>
    </xdr:from>
    <xdr:ext cx="0" cy="27940"/>
    <xdr:sp macro="" textlink="">
      <xdr:nvSpPr>
        <xdr:cNvPr id="71" name="Shape 71">
          <a:extLst>
            <a:ext uri="{FF2B5EF4-FFF2-40B4-BE49-F238E27FC236}">
              <a16:creationId xmlns:a16="http://schemas.microsoft.com/office/drawing/2014/main" id="{82A94855-796E-49FF-B781-8F487740B9E7}"/>
            </a:ext>
          </a:extLst>
        </xdr:cNvPr>
        <xdr:cNvSpPr/>
      </xdr:nvSpPr>
      <xdr:spPr>
        <a:xfrm>
          <a:off x="1667078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9</xdr:row>
      <xdr:rowOff>99634</xdr:rowOff>
    </xdr:from>
    <xdr:ext cx="0" cy="27940"/>
    <xdr:sp macro="" textlink="">
      <xdr:nvSpPr>
        <xdr:cNvPr id="72" name="Shape 72">
          <a:extLst>
            <a:ext uri="{FF2B5EF4-FFF2-40B4-BE49-F238E27FC236}">
              <a16:creationId xmlns:a16="http://schemas.microsoft.com/office/drawing/2014/main" id="{BF004F8C-27A0-4B84-9B7A-EBFCA27BE1A8}"/>
            </a:ext>
          </a:extLst>
        </xdr:cNvPr>
        <xdr:cNvSpPr/>
      </xdr:nvSpPr>
      <xdr:spPr>
        <a:xfrm>
          <a:off x="282077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9</xdr:row>
      <xdr:rowOff>99634</xdr:rowOff>
    </xdr:from>
    <xdr:ext cx="0" cy="27940"/>
    <xdr:sp macro="" textlink="">
      <xdr:nvSpPr>
        <xdr:cNvPr id="73" name="Shape 73">
          <a:extLst>
            <a:ext uri="{FF2B5EF4-FFF2-40B4-BE49-F238E27FC236}">
              <a16:creationId xmlns:a16="http://schemas.microsoft.com/office/drawing/2014/main" id="{F82FB0BD-6D67-4522-9508-D878F90C42EF}"/>
            </a:ext>
          </a:extLst>
        </xdr:cNvPr>
        <xdr:cNvSpPr/>
      </xdr:nvSpPr>
      <xdr:spPr>
        <a:xfrm>
          <a:off x="390142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9</xdr:row>
      <xdr:rowOff>99634</xdr:rowOff>
    </xdr:from>
    <xdr:ext cx="0" cy="27940"/>
    <xdr:sp macro="" textlink="">
      <xdr:nvSpPr>
        <xdr:cNvPr id="74" name="Shape 74">
          <a:extLst>
            <a:ext uri="{FF2B5EF4-FFF2-40B4-BE49-F238E27FC236}">
              <a16:creationId xmlns:a16="http://schemas.microsoft.com/office/drawing/2014/main" id="{45EDCCA7-AAE7-4739-80F7-8C548D9DAB2D}"/>
            </a:ext>
          </a:extLst>
        </xdr:cNvPr>
        <xdr:cNvSpPr/>
      </xdr:nvSpPr>
      <xdr:spPr>
        <a:xfrm>
          <a:off x="512231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99634</xdr:rowOff>
    </xdr:from>
    <xdr:ext cx="0" cy="27940"/>
    <xdr:sp macro="" textlink="">
      <xdr:nvSpPr>
        <xdr:cNvPr id="75" name="Shape 75">
          <a:extLst>
            <a:ext uri="{FF2B5EF4-FFF2-40B4-BE49-F238E27FC236}">
              <a16:creationId xmlns:a16="http://schemas.microsoft.com/office/drawing/2014/main" id="{674936E9-ED74-4453-8739-80CEECA3BD48}"/>
            </a:ext>
          </a:extLst>
        </xdr:cNvPr>
        <xdr:cNvSpPr/>
      </xdr:nvSpPr>
      <xdr:spPr>
        <a:xfrm>
          <a:off x="374959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9</xdr:row>
      <xdr:rowOff>99634</xdr:rowOff>
    </xdr:from>
    <xdr:ext cx="0" cy="27940"/>
    <xdr:sp macro="" textlink="">
      <xdr:nvSpPr>
        <xdr:cNvPr id="76" name="Shape 76">
          <a:extLst>
            <a:ext uri="{FF2B5EF4-FFF2-40B4-BE49-F238E27FC236}">
              <a16:creationId xmlns:a16="http://schemas.microsoft.com/office/drawing/2014/main" id="{15197FE7-8030-43BC-98D2-418F702E09B0}"/>
            </a:ext>
          </a:extLst>
        </xdr:cNvPr>
        <xdr:cNvSpPr/>
      </xdr:nvSpPr>
      <xdr:spPr>
        <a:xfrm>
          <a:off x="2439583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9</xdr:row>
      <xdr:rowOff>99634</xdr:rowOff>
    </xdr:from>
    <xdr:ext cx="0" cy="27940"/>
    <xdr:sp macro="" textlink="">
      <xdr:nvSpPr>
        <xdr:cNvPr id="77" name="Shape 77">
          <a:extLst>
            <a:ext uri="{FF2B5EF4-FFF2-40B4-BE49-F238E27FC236}">
              <a16:creationId xmlns:a16="http://schemas.microsoft.com/office/drawing/2014/main" id="{6923F0A2-CB66-4381-B22E-13C601D7B053}"/>
            </a:ext>
          </a:extLst>
        </xdr:cNvPr>
        <xdr:cNvSpPr/>
      </xdr:nvSpPr>
      <xdr:spPr>
        <a:xfrm>
          <a:off x="3583410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9</xdr:row>
      <xdr:rowOff>99634</xdr:rowOff>
    </xdr:from>
    <xdr:ext cx="0" cy="27940"/>
    <xdr:sp macro="" textlink="">
      <xdr:nvSpPr>
        <xdr:cNvPr id="78" name="Shape 78">
          <a:extLst>
            <a:ext uri="{FF2B5EF4-FFF2-40B4-BE49-F238E27FC236}">
              <a16:creationId xmlns:a16="http://schemas.microsoft.com/office/drawing/2014/main" id="{994EF8BB-D833-4E46-917D-B09B6C97F2EE}"/>
            </a:ext>
          </a:extLst>
        </xdr:cNvPr>
        <xdr:cNvSpPr/>
      </xdr:nvSpPr>
      <xdr:spPr>
        <a:xfrm>
          <a:off x="4352461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11</xdr:row>
      <xdr:rowOff>99810</xdr:rowOff>
    </xdr:from>
    <xdr:ext cx="0" cy="27940"/>
    <xdr:sp macro="" textlink="">
      <xdr:nvSpPr>
        <xdr:cNvPr id="79" name="Shape 79">
          <a:extLst>
            <a:ext uri="{FF2B5EF4-FFF2-40B4-BE49-F238E27FC236}">
              <a16:creationId xmlns:a16="http://schemas.microsoft.com/office/drawing/2014/main" id="{C7DE46C5-591D-46E3-8D8B-77A4A529D923}"/>
            </a:ext>
          </a:extLst>
        </xdr:cNvPr>
        <xdr:cNvSpPr/>
      </xdr:nvSpPr>
      <xdr:spPr>
        <a:xfrm>
          <a:off x="2058090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11</xdr:row>
      <xdr:rowOff>99810</xdr:rowOff>
    </xdr:from>
    <xdr:ext cx="0" cy="27940"/>
    <xdr:sp macro="" textlink="">
      <xdr:nvSpPr>
        <xdr:cNvPr id="80" name="Shape 80">
          <a:extLst>
            <a:ext uri="{FF2B5EF4-FFF2-40B4-BE49-F238E27FC236}">
              <a16:creationId xmlns:a16="http://schemas.microsoft.com/office/drawing/2014/main" id="{4C1B23C4-A522-4A11-8122-8FB35D290774}"/>
            </a:ext>
          </a:extLst>
        </xdr:cNvPr>
        <xdr:cNvSpPr/>
      </xdr:nvSpPr>
      <xdr:spPr>
        <a:xfrm>
          <a:off x="320984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11</xdr:row>
      <xdr:rowOff>99810</xdr:rowOff>
    </xdr:from>
    <xdr:ext cx="0" cy="27940"/>
    <xdr:sp macro="" textlink="">
      <xdr:nvSpPr>
        <xdr:cNvPr id="81" name="Shape 81">
          <a:extLst>
            <a:ext uri="{FF2B5EF4-FFF2-40B4-BE49-F238E27FC236}">
              <a16:creationId xmlns:a16="http://schemas.microsoft.com/office/drawing/2014/main" id="{D7D8DB2E-0ADD-4387-B4D1-ACFDFD71270A}"/>
            </a:ext>
          </a:extLst>
        </xdr:cNvPr>
        <xdr:cNvSpPr/>
      </xdr:nvSpPr>
      <xdr:spPr>
        <a:xfrm>
          <a:off x="4732524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11</xdr:row>
      <xdr:rowOff>99810</xdr:rowOff>
    </xdr:from>
    <xdr:ext cx="0" cy="27940"/>
    <xdr:sp macro="" textlink="">
      <xdr:nvSpPr>
        <xdr:cNvPr id="82" name="Shape 82">
          <a:extLst>
            <a:ext uri="{FF2B5EF4-FFF2-40B4-BE49-F238E27FC236}">
              <a16:creationId xmlns:a16="http://schemas.microsoft.com/office/drawing/2014/main" id="{DA6B4DF8-8762-4176-AD3F-3BB7FD7C2E2B}"/>
            </a:ext>
          </a:extLst>
        </xdr:cNvPr>
        <xdr:cNvSpPr/>
      </xdr:nvSpPr>
      <xdr:spPr>
        <a:xfrm>
          <a:off x="1667078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11</xdr:row>
      <xdr:rowOff>99810</xdr:rowOff>
    </xdr:from>
    <xdr:ext cx="0" cy="27940"/>
    <xdr:sp macro="" textlink="">
      <xdr:nvSpPr>
        <xdr:cNvPr id="83" name="Shape 83">
          <a:extLst>
            <a:ext uri="{FF2B5EF4-FFF2-40B4-BE49-F238E27FC236}">
              <a16:creationId xmlns:a16="http://schemas.microsoft.com/office/drawing/2014/main" id="{202D68FC-D61E-4965-9983-091C15D462D3}"/>
            </a:ext>
          </a:extLst>
        </xdr:cNvPr>
        <xdr:cNvSpPr/>
      </xdr:nvSpPr>
      <xdr:spPr>
        <a:xfrm>
          <a:off x="282077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11</xdr:row>
      <xdr:rowOff>99810</xdr:rowOff>
    </xdr:from>
    <xdr:ext cx="0" cy="27940"/>
    <xdr:sp macro="" textlink="">
      <xdr:nvSpPr>
        <xdr:cNvPr id="84" name="Shape 84">
          <a:extLst>
            <a:ext uri="{FF2B5EF4-FFF2-40B4-BE49-F238E27FC236}">
              <a16:creationId xmlns:a16="http://schemas.microsoft.com/office/drawing/2014/main" id="{E5904D5E-D289-4336-A911-D192752140F4}"/>
            </a:ext>
          </a:extLst>
        </xdr:cNvPr>
        <xdr:cNvSpPr/>
      </xdr:nvSpPr>
      <xdr:spPr>
        <a:xfrm>
          <a:off x="390142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11</xdr:row>
      <xdr:rowOff>99810</xdr:rowOff>
    </xdr:from>
    <xdr:ext cx="0" cy="27940"/>
    <xdr:sp macro="" textlink="">
      <xdr:nvSpPr>
        <xdr:cNvPr id="85" name="Shape 85">
          <a:extLst>
            <a:ext uri="{FF2B5EF4-FFF2-40B4-BE49-F238E27FC236}">
              <a16:creationId xmlns:a16="http://schemas.microsoft.com/office/drawing/2014/main" id="{FEF275C2-5D94-4C18-A25C-D4431D45C94B}"/>
            </a:ext>
          </a:extLst>
        </xdr:cNvPr>
        <xdr:cNvSpPr/>
      </xdr:nvSpPr>
      <xdr:spPr>
        <a:xfrm>
          <a:off x="512231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99810</xdr:rowOff>
    </xdr:from>
    <xdr:ext cx="0" cy="27940"/>
    <xdr:sp macro="" textlink="">
      <xdr:nvSpPr>
        <xdr:cNvPr id="86" name="Shape 86">
          <a:extLst>
            <a:ext uri="{FF2B5EF4-FFF2-40B4-BE49-F238E27FC236}">
              <a16:creationId xmlns:a16="http://schemas.microsoft.com/office/drawing/2014/main" id="{50BCB9B2-A8B2-4855-B44B-1224DBD0A26E}"/>
            </a:ext>
          </a:extLst>
        </xdr:cNvPr>
        <xdr:cNvSpPr/>
      </xdr:nvSpPr>
      <xdr:spPr>
        <a:xfrm>
          <a:off x="374959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11</xdr:row>
      <xdr:rowOff>99810</xdr:rowOff>
    </xdr:from>
    <xdr:ext cx="0" cy="27940"/>
    <xdr:sp macro="" textlink="">
      <xdr:nvSpPr>
        <xdr:cNvPr id="87" name="Shape 87">
          <a:extLst>
            <a:ext uri="{FF2B5EF4-FFF2-40B4-BE49-F238E27FC236}">
              <a16:creationId xmlns:a16="http://schemas.microsoft.com/office/drawing/2014/main" id="{AFEF3EE0-3354-4749-92A4-F9958A7FC21E}"/>
            </a:ext>
          </a:extLst>
        </xdr:cNvPr>
        <xdr:cNvSpPr/>
      </xdr:nvSpPr>
      <xdr:spPr>
        <a:xfrm>
          <a:off x="2439583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11</xdr:row>
      <xdr:rowOff>99810</xdr:rowOff>
    </xdr:from>
    <xdr:ext cx="0" cy="27940"/>
    <xdr:sp macro="" textlink="">
      <xdr:nvSpPr>
        <xdr:cNvPr id="88" name="Shape 88">
          <a:extLst>
            <a:ext uri="{FF2B5EF4-FFF2-40B4-BE49-F238E27FC236}">
              <a16:creationId xmlns:a16="http://schemas.microsoft.com/office/drawing/2014/main" id="{F66779AB-5416-4239-AEC0-09B2E90F26D0}"/>
            </a:ext>
          </a:extLst>
        </xdr:cNvPr>
        <xdr:cNvSpPr/>
      </xdr:nvSpPr>
      <xdr:spPr>
        <a:xfrm>
          <a:off x="3583410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11</xdr:row>
      <xdr:rowOff>99810</xdr:rowOff>
    </xdr:from>
    <xdr:ext cx="0" cy="27940"/>
    <xdr:sp macro="" textlink="">
      <xdr:nvSpPr>
        <xdr:cNvPr id="89" name="Shape 89">
          <a:extLst>
            <a:ext uri="{FF2B5EF4-FFF2-40B4-BE49-F238E27FC236}">
              <a16:creationId xmlns:a16="http://schemas.microsoft.com/office/drawing/2014/main" id="{75CEAAD6-04A1-45FD-BC9F-AC1815CE074E}"/>
            </a:ext>
          </a:extLst>
        </xdr:cNvPr>
        <xdr:cNvSpPr/>
      </xdr:nvSpPr>
      <xdr:spPr>
        <a:xfrm>
          <a:off x="4352461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12</xdr:row>
      <xdr:rowOff>81391</xdr:rowOff>
    </xdr:from>
    <xdr:ext cx="0" cy="27940"/>
    <xdr:sp macro="" textlink="">
      <xdr:nvSpPr>
        <xdr:cNvPr id="90" name="Shape 90">
          <a:extLst>
            <a:ext uri="{FF2B5EF4-FFF2-40B4-BE49-F238E27FC236}">
              <a16:creationId xmlns:a16="http://schemas.microsoft.com/office/drawing/2014/main" id="{1734E618-30DD-4ABD-9775-6CF36DDDB329}"/>
            </a:ext>
          </a:extLst>
        </xdr:cNvPr>
        <xdr:cNvSpPr/>
      </xdr:nvSpPr>
      <xdr:spPr>
        <a:xfrm>
          <a:off x="205809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12</xdr:row>
      <xdr:rowOff>81391</xdr:rowOff>
    </xdr:from>
    <xdr:ext cx="0" cy="27940"/>
    <xdr:sp macro="" textlink="">
      <xdr:nvSpPr>
        <xdr:cNvPr id="91" name="Shape 91">
          <a:extLst>
            <a:ext uri="{FF2B5EF4-FFF2-40B4-BE49-F238E27FC236}">
              <a16:creationId xmlns:a16="http://schemas.microsoft.com/office/drawing/2014/main" id="{F6BD5B51-13EB-4152-91C9-284FC31A0FF9}"/>
            </a:ext>
          </a:extLst>
        </xdr:cNvPr>
        <xdr:cNvSpPr/>
      </xdr:nvSpPr>
      <xdr:spPr>
        <a:xfrm>
          <a:off x="320984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12</xdr:row>
      <xdr:rowOff>81391</xdr:rowOff>
    </xdr:from>
    <xdr:ext cx="0" cy="27940"/>
    <xdr:sp macro="" textlink="">
      <xdr:nvSpPr>
        <xdr:cNvPr id="92" name="Shape 92">
          <a:extLst>
            <a:ext uri="{FF2B5EF4-FFF2-40B4-BE49-F238E27FC236}">
              <a16:creationId xmlns:a16="http://schemas.microsoft.com/office/drawing/2014/main" id="{88BE7A78-6A65-40E8-BEF0-C4451AD5519A}"/>
            </a:ext>
          </a:extLst>
        </xdr:cNvPr>
        <xdr:cNvSpPr/>
      </xdr:nvSpPr>
      <xdr:spPr>
        <a:xfrm>
          <a:off x="473262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12</xdr:row>
      <xdr:rowOff>81391</xdr:rowOff>
    </xdr:from>
    <xdr:ext cx="0" cy="27940"/>
    <xdr:sp macro="" textlink="">
      <xdr:nvSpPr>
        <xdr:cNvPr id="93" name="Shape 93">
          <a:extLst>
            <a:ext uri="{FF2B5EF4-FFF2-40B4-BE49-F238E27FC236}">
              <a16:creationId xmlns:a16="http://schemas.microsoft.com/office/drawing/2014/main" id="{03266312-C9D0-4F79-BDF0-4ECA816A67C1}"/>
            </a:ext>
          </a:extLst>
        </xdr:cNvPr>
        <xdr:cNvSpPr/>
      </xdr:nvSpPr>
      <xdr:spPr>
        <a:xfrm>
          <a:off x="1667078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12</xdr:row>
      <xdr:rowOff>81391</xdr:rowOff>
    </xdr:from>
    <xdr:ext cx="0" cy="27940"/>
    <xdr:sp macro="" textlink="">
      <xdr:nvSpPr>
        <xdr:cNvPr id="94" name="Shape 94">
          <a:extLst>
            <a:ext uri="{FF2B5EF4-FFF2-40B4-BE49-F238E27FC236}">
              <a16:creationId xmlns:a16="http://schemas.microsoft.com/office/drawing/2014/main" id="{137BCBAE-E5DC-42ED-802E-01A8054302B1}"/>
            </a:ext>
          </a:extLst>
        </xdr:cNvPr>
        <xdr:cNvSpPr/>
      </xdr:nvSpPr>
      <xdr:spPr>
        <a:xfrm>
          <a:off x="282077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12</xdr:row>
      <xdr:rowOff>81391</xdr:rowOff>
    </xdr:from>
    <xdr:ext cx="0" cy="27940"/>
    <xdr:sp macro="" textlink="">
      <xdr:nvSpPr>
        <xdr:cNvPr id="95" name="Shape 95">
          <a:extLst>
            <a:ext uri="{FF2B5EF4-FFF2-40B4-BE49-F238E27FC236}">
              <a16:creationId xmlns:a16="http://schemas.microsoft.com/office/drawing/2014/main" id="{D6E0AAAA-F6D8-418B-A98B-825B63B3DFD9}"/>
            </a:ext>
          </a:extLst>
        </xdr:cNvPr>
        <xdr:cNvSpPr/>
      </xdr:nvSpPr>
      <xdr:spPr>
        <a:xfrm>
          <a:off x="390142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12</xdr:row>
      <xdr:rowOff>81391</xdr:rowOff>
    </xdr:from>
    <xdr:ext cx="0" cy="27940"/>
    <xdr:sp macro="" textlink="">
      <xdr:nvSpPr>
        <xdr:cNvPr id="96" name="Shape 96">
          <a:extLst>
            <a:ext uri="{FF2B5EF4-FFF2-40B4-BE49-F238E27FC236}">
              <a16:creationId xmlns:a16="http://schemas.microsoft.com/office/drawing/2014/main" id="{4FE3A12E-5910-45FE-A12A-AF40DD06CE1A}"/>
            </a:ext>
          </a:extLst>
        </xdr:cNvPr>
        <xdr:cNvSpPr/>
      </xdr:nvSpPr>
      <xdr:spPr>
        <a:xfrm>
          <a:off x="512231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12</xdr:row>
      <xdr:rowOff>81391</xdr:rowOff>
    </xdr:from>
    <xdr:ext cx="0" cy="27940"/>
    <xdr:sp macro="" textlink="">
      <xdr:nvSpPr>
        <xdr:cNvPr id="97" name="Shape 97">
          <a:extLst>
            <a:ext uri="{FF2B5EF4-FFF2-40B4-BE49-F238E27FC236}">
              <a16:creationId xmlns:a16="http://schemas.microsoft.com/office/drawing/2014/main" id="{555C6A3D-6008-42D4-8188-DFCF95E1DCF4}"/>
            </a:ext>
          </a:extLst>
        </xdr:cNvPr>
        <xdr:cNvSpPr/>
      </xdr:nvSpPr>
      <xdr:spPr>
        <a:xfrm>
          <a:off x="1285875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12</xdr:row>
      <xdr:rowOff>81391</xdr:rowOff>
    </xdr:from>
    <xdr:ext cx="0" cy="27940"/>
    <xdr:sp macro="" textlink="">
      <xdr:nvSpPr>
        <xdr:cNvPr id="98" name="Shape 98">
          <a:extLst>
            <a:ext uri="{FF2B5EF4-FFF2-40B4-BE49-F238E27FC236}">
              <a16:creationId xmlns:a16="http://schemas.microsoft.com/office/drawing/2014/main" id="{7004E56B-DECA-4E88-B863-4797699B456D}"/>
            </a:ext>
          </a:extLst>
        </xdr:cNvPr>
        <xdr:cNvSpPr/>
      </xdr:nvSpPr>
      <xdr:spPr>
        <a:xfrm>
          <a:off x="2439583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12</xdr:row>
      <xdr:rowOff>81391</xdr:rowOff>
    </xdr:from>
    <xdr:ext cx="0" cy="27940"/>
    <xdr:sp macro="" textlink="">
      <xdr:nvSpPr>
        <xdr:cNvPr id="99" name="Shape 99">
          <a:extLst>
            <a:ext uri="{FF2B5EF4-FFF2-40B4-BE49-F238E27FC236}">
              <a16:creationId xmlns:a16="http://schemas.microsoft.com/office/drawing/2014/main" id="{28A3DC9E-AFDC-444C-AB96-999AFC7A63FD}"/>
            </a:ext>
          </a:extLst>
        </xdr:cNvPr>
        <xdr:cNvSpPr/>
      </xdr:nvSpPr>
      <xdr:spPr>
        <a:xfrm>
          <a:off x="358341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12</xdr:row>
      <xdr:rowOff>81391</xdr:rowOff>
    </xdr:from>
    <xdr:ext cx="0" cy="27940"/>
    <xdr:sp macro="" textlink="">
      <xdr:nvSpPr>
        <xdr:cNvPr id="100" name="Shape 100">
          <a:extLst>
            <a:ext uri="{FF2B5EF4-FFF2-40B4-BE49-F238E27FC236}">
              <a16:creationId xmlns:a16="http://schemas.microsoft.com/office/drawing/2014/main" id="{77FDCEC9-F8F4-4824-8DE3-C255D820EFDB}"/>
            </a:ext>
          </a:extLst>
        </xdr:cNvPr>
        <xdr:cNvSpPr/>
      </xdr:nvSpPr>
      <xdr:spPr>
        <a:xfrm>
          <a:off x="4352461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14</xdr:row>
      <xdr:rowOff>100077</xdr:rowOff>
    </xdr:from>
    <xdr:ext cx="0" cy="27940"/>
    <xdr:sp macro="" textlink="">
      <xdr:nvSpPr>
        <xdr:cNvPr id="101" name="Shape 101">
          <a:extLst>
            <a:ext uri="{FF2B5EF4-FFF2-40B4-BE49-F238E27FC236}">
              <a16:creationId xmlns:a16="http://schemas.microsoft.com/office/drawing/2014/main" id="{64313420-A852-4DA7-AAE8-5424E3672268}"/>
            </a:ext>
          </a:extLst>
        </xdr:cNvPr>
        <xdr:cNvSpPr/>
      </xdr:nvSpPr>
      <xdr:spPr>
        <a:xfrm>
          <a:off x="205809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14</xdr:row>
      <xdr:rowOff>100077</xdr:rowOff>
    </xdr:from>
    <xdr:ext cx="0" cy="27940"/>
    <xdr:sp macro="" textlink="">
      <xdr:nvSpPr>
        <xdr:cNvPr id="102" name="Shape 102">
          <a:extLst>
            <a:ext uri="{FF2B5EF4-FFF2-40B4-BE49-F238E27FC236}">
              <a16:creationId xmlns:a16="http://schemas.microsoft.com/office/drawing/2014/main" id="{C64389DD-8848-4409-BDA4-E1D482F7DCBA}"/>
            </a:ext>
          </a:extLst>
        </xdr:cNvPr>
        <xdr:cNvSpPr/>
      </xdr:nvSpPr>
      <xdr:spPr>
        <a:xfrm>
          <a:off x="320984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14</xdr:row>
      <xdr:rowOff>100077</xdr:rowOff>
    </xdr:from>
    <xdr:ext cx="0" cy="27940"/>
    <xdr:sp macro="" textlink="">
      <xdr:nvSpPr>
        <xdr:cNvPr id="103" name="Shape 103">
          <a:extLst>
            <a:ext uri="{FF2B5EF4-FFF2-40B4-BE49-F238E27FC236}">
              <a16:creationId xmlns:a16="http://schemas.microsoft.com/office/drawing/2014/main" id="{955BAAC5-91E9-402B-AC75-E2849807BA6F}"/>
            </a:ext>
          </a:extLst>
        </xdr:cNvPr>
        <xdr:cNvSpPr/>
      </xdr:nvSpPr>
      <xdr:spPr>
        <a:xfrm>
          <a:off x="473262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14</xdr:row>
      <xdr:rowOff>100077</xdr:rowOff>
    </xdr:from>
    <xdr:ext cx="0" cy="27940"/>
    <xdr:sp macro="" textlink="">
      <xdr:nvSpPr>
        <xdr:cNvPr id="104" name="Shape 104">
          <a:extLst>
            <a:ext uri="{FF2B5EF4-FFF2-40B4-BE49-F238E27FC236}">
              <a16:creationId xmlns:a16="http://schemas.microsoft.com/office/drawing/2014/main" id="{A999A560-13F7-442B-ADA4-D3AEECE4FCC9}"/>
            </a:ext>
          </a:extLst>
        </xdr:cNvPr>
        <xdr:cNvSpPr/>
      </xdr:nvSpPr>
      <xdr:spPr>
        <a:xfrm>
          <a:off x="1667078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14</xdr:row>
      <xdr:rowOff>100077</xdr:rowOff>
    </xdr:from>
    <xdr:ext cx="0" cy="27940"/>
    <xdr:sp macro="" textlink="">
      <xdr:nvSpPr>
        <xdr:cNvPr id="105" name="Shape 105">
          <a:extLst>
            <a:ext uri="{FF2B5EF4-FFF2-40B4-BE49-F238E27FC236}">
              <a16:creationId xmlns:a16="http://schemas.microsoft.com/office/drawing/2014/main" id="{8B621DEF-68E5-47F9-8169-E3593FD6123B}"/>
            </a:ext>
          </a:extLst>
        </xdr:cNvPr>
        <xdr:cNvSpPr/>
      </xdr:nvSpPr>
      <xdr:spPr>
        <a:xfrm>
          <a:off x="282077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14</xdr:row>
      <xdr:rowOff>100077</xdr:rowOff>
    </xdr:from>
    <xdr:ext cx="0" cy="27940"/>
    <xdr:sp macro="" textlink="">
      <xdr:nvSpPr>
        <xdr:cNvPr id="106" name="Shape 106">
          <a:extLst>
            <a:ext uri="{FF2B5EF4-FFF2-40B4-BE49-F238E27FC236}">
              <a16:creationId xmlns:a16="http://schemas.microsoft.com/office/drawing/2014/main" id="{291A0EDD-3917-4455-B6F4-4BF1F06DBA72}"/>
            </a:ext>
          </a:extLst>
        </xdr:cNvPr>
        <xdr:cNvSpPr/>
      </xdr:nvSpPr>
      <xdr:spPr>
        <a:xfrm>
          <a:off x="390142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14</xdr:row>
      <xdr:rowOff>100077</xdr:rowOff>
    </xdr:from>
    <xdr:ext cx="0" cy="27940"/>
    <xdr:sp macro="" textlink="">
      <xdr:nvSpPr>
        <xdr:cNvPr id="107" name="Shape 107">
          <a:extLst>
            <a:ext uri="{FF2B5EF4-FFF2-40B4-BE49-F238E27FC236}">
              <a16:creationId xmlns:a16="http://schemas.microsoft.com/office/drawing/2014/main" id="{F026CEDD-6E90-4175-A721-BA08FBE4CA2A}"/>
            </a:ext>
          </a:extLst>
        </xdr:cNvPr>
        <xdr:cNvSpPr/>
      </xdr:nvSpPr>
      <xdr:spPr>
        <a:xfrm>
          <a:off x="512231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14</xdr:row>
      <xdr:rowOff>100077</xdr:rowOff>
    </xdr:from>
    <xdr:ext cx="0" cy="27940"/>
    <xdr:sp macro="" textlink="">
      <xdr:nvSpPr>
        <xdr:cNvPr id="108" name="Shape 108">
          <a:extLst>
            <a:ext uri="{FF2B5EF4-FFF2-40B4-BE49-F238E27FC236}">
              <a16:creationId xmlns:a16="http://schemas.microsoft.com/office/drawing/2014/main" id="{F31E8277-29C1-4C2A-A4D1-267698ACF73E}"/>
            </a:ext>
          </a:extLst>
        </xdr:cNvPr>
        <xdr:cNvSpPr/>
      </xdr:nvSpPr>
      <xdr:spPr>
        <a:xfrm>
          <a:off x="1285875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14</xdr:row>
      <xdr:rowOff>100077</xdr:rowOff>
    </xdr:from>
    <xdr:ext cx="0" cy="27940"/>
    <xdr:sp macro="" textlink="">
      <xdr:nvSpPr>
        <xdr:cNvPr id="109" name="Shape 109">
          <a:extLst>
            <a:ext uri="{FF2B5EF4-FFF2-40B4-BE49-F238E27FC236}">
              <a16:creationId xmlns:a16="http://schemas.microsoft.com/office/drawing/2014/main" id="{46E44393-E87E-4D84-AFCF-7364E09FECC7}"/>
            </a:ext>
          </a:extLst>
        </xdr:cNvPr>
        <xdr:cNvSpPr/>
      </xdr:nvSpPr>
      <xdr:spPr>
        <a:xfrm>
          <a:off x="2439583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14</xdr:row>
      <xdr:rowOff>100077</xdr:rowOff>
    </xdr:from>
    <xdr:ext cx="0" cy="27940"/>
    <xdr:sp macro="" textlink="">
      <xdr:nvSpPr>
        <xdr:cNvPr id="110" name="Shape 110">
          <a:extLst>
            <a:ext uri="{FF2B5EF4-FFF2-40B4-BE49-F238E27FC236}">
              <a16:creationId xmlns:a16="http://schemas.microsoft.com/office/drawing/2014/main" id="{C194AECF-2825-4565-92D7-D3B0DEF4871A}"/>
            </a:ext>
          </a:extLst>
        </xdr:cNvPr>
        <xdr:cNvSpPr/>
      </xdr:nvSpPr>
      <xdr:spPr>
        <a:xfrm>
          <a:off x="358341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14</xdr:row>
      <xdr:rowOff>100077</xdr:rowOff>
    </xdr:from>
    <xdr:ext cx="0" cy="27940"/>
    <xdr:sp macro="" textlink="">
      <xdr:nvSpPr>
        <xdr:cNvPr id="111" name="Shape 111">
          <a:extLst>
            <a:ext uri="{FF2B5EF4-FFF2-40B4-BE49-F238E27FC236}">
              <a16:creationId xmlns:a16="http://schemas.microsoft.com/office/drawing/2014/main" id="{74ABEA60-94AD-41CE-ACEE-6A4DFCED60A3}"/>
            </a:ext>
          </a:extLst>
        </xdr:cNvPr>
        <xdr:cNvSpPr/>
      </xdr:nvSpPr>
      <xdr:spPr>
        <a:xfrm>
          <a:off x="4352461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13</xdr:row>
      <xdr:rowOff>99987</xdr:rowOff>
    </xdr:from>
    <xdr:ext cx="0" cy="27940"/>
    <xdr:sp macro="" textlink="">
      <xdr:nvSpPr>
        <xdr:cNvPr id="112" name="Shape 112">
          <a:extLst>
            <a:ext uri="{FF2B5EF4-FFF2-40B4-BE49-F238E27FC236}">
              <a16:creationId xmlns:a16="http://schemas.microsoft.com/office/drawing/2014/main" id="{14774029-CA98-443C-B023-6535B54CE0F6}"/>
            </a:ext>
          </a:extLst>
        </xdr:cNvPr>
        <xdr:cNvSpPr/>
      </xdr:nvSpPr>
      <xdr:spPr>
        <a:xfrm>
          <a:off x="205809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13</xdr:row>
      <xdr:rowOff>99987</xdr:rowOff>
    </xdr:from>
    <xdr:ext cx="0" cy="27940"/>
    <xdr:sp macro="" textlink="">
      <xdr:nvSpPr>
        <xdr:cNvPr id="113" name="Shape 113">
          <a:extLst>
            <a:ext uri="{FF2B5EF4-FFF2-40B4-BE49-F238E27FC236}">
              <a16:creationId xmlns:a16="http://schemas.microsoft.com/office/drawing/2014/main" id="{DE89835E-D29C-4E09-9923-EDE2A081E69C}"/>
            </a:ext>
          </a:extLst>
        </xdr:cNvPr>
        <xdr:cNvSpPr/>
      </xdr:nvSpPr>
      <xdr:spPr>
        <a:xfrm>
          <a:off x="320984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13</xdr:row>
      <xdr:rowOff>99987</xdr:rowOff>
    </xdr:from>
    <xdr:ext cx="0" cy="27940"/>
    <xdr:sp macro="" textlink="">
      <xdr:nvSpPr>
        <xdr:cNvPr id="114" name="Shape 114">
          <a:extLst>
            <a:ext uri="{FF2B5EF4-FFF2-40B4-BE49-F238E27FC236}">
              <a16:creationId xmlns:a16="http://schemas.microsoft.com/office/drawing/2014/main" id="{17EFAB31-6C35-4992-A8C2-3E07E52BB2D7}"/>
            </a:ext>
          </a:extLst>
        </xdr:cNvPr>
        <xdr:cNvSpPr/>
      </xdr:nvSpPr>
      <xdr:spPr>
        <a:xfrm>
          <a:off x="473262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13</xdr:row>
      <xdr:rowOff>99987</xdr:rowOff>
    </xdr:from>
    <xdr:ext cx="0" cy="27940"/>
    <xdr:sp macro="" textlink="">
      <xdr:nvSpPr>
        <xdr:cNvPr id="115" name="Shape 115">
          <a:extLst>
            <a:ext uri="{FF2B5EF4-FFF2-40B4-BE49-F238E27FC236}">
              <a16:creationId xmlns:a16="http://schemas.microsoft.com/office/drawing/2014/main" id="{2052CEAE-27C3-4D28-BE1A-BCED685E5FA2}"/>
            </a:ext>
          </a:extLst>
        </xdr:cNvPr>
        <xdr:cNvSpPr/>
      </xdr:nvSpPr>
      <xdr:spPr>
        <a:xfrm>
          <a:off x="1667078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13</xdr:row>
      <xdr:rowOff>99987</xdr:rowOff>
    </xdr:from>
    <xdr:ext cx="0" cy="27940"/>
    <xdr:sp macro="" textlink="">
      <xdr:nvSpPr>
        <xdr:cNvPr id="116" name="Shape 116">
          <a:extLst>
            <a:ext uri="{FF2B5EF4-FFF2-40B4-BE49-F238E27FC236}">
              <a16:creationId xmlns:a16="http://schemas.microsoft.com/office/drawing/2014/main" id="{218C9F5B-D381-4979-AEE4-EA112DA7051C}"/>
            </a:ext>
          </a:extLst>
        </xdr:cNvPr>
        <xdr:cNvSpPr/>
      </xdr:nvSpPr>
      <xdr:spPr>
        <a:xfrm>
          <a:off x="282077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13</xdr:row>
      <xdr:rowOff>99987</xdr:rowOff>
    </xdr:from>
    <xdr:ext cx="0" cy="27940"/>
    <xdr:sp macro="" textlink="">
      <xdr:nvSpPr>
        <xdr:cNvPr id="117" name="Shape 117">
          <a:extLst>
            <a:ext uri="{FF2B5EF4-FFF2-40B4-BE49-F238E27FC236}">
              <a16:creationId xmlns:a16="http://schemas.microsoft.com/office/drawing/2014/main" id="{CA20AD56-EE2C-4568-A3A4-DC4BBA5F3D31}"/>
            </a:ext>
          </a:extLst>
        </xdr:cNvPr>
        <xdr:cNvSpPr/>
      </xdr:nvSpPr>
      <xdr:spPr>
        <a:xfrm>
          <a:off x="390142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13</xdr:row>
      <xdr:rowOff>99987</xdr:rowOff>
    </xdr:from>
    <xdr:ext cx="0" cy="27940"/>
    <xdr:sp macro="" textlink="">
      <xdr:nvSpPr>
        <xdr:cNvPr id="118" name="Shape 118">
          <a:extLst>
            <a:ext uri="{FF2B5EF4-FFF2-40B4-BE49-F238E27FC236}">
              <a16:creationId xmlns:a16="http://schemas.microsoft.com/office/drawing/2014/main" id="{517A4950-FF51-4A12-A715-624B200B4BEE}"/>
            </a:ext>
          </a:extLst>
        </xdr:cNvPr>
        <xdr:cNvSpPr/>
      </xdr:nvSpPr>
      <xdr:spPr>
        <a:xfrm>
          <a:off x="512231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13</xdr:row>
      <xdr:rowOff>99987</xdr:rowOff>
    </xdr:from>
    <xdr:ext cx="0" cy="27940"/>
    <xdr:sp macro="" textlink="">
      <xdr:nvSpPr>
        <xdr:cNvPr id="119" name="Shape 119">
          <a:extLst>
            <a:ext uri="{FF2B5EF4-FFF2-40B4-BE49-F238E27FC236}">
              <a16:creationId xmlns:a16="http://schemas.microsoft.com/office/drawing/2014/main" id="{0AC4B39E-2947-4873-8932-14F925AE72E5}"/>
            </a:ext>
          </a:extLst>
        </xdr:cNvPr>
        <xdr:cNvSpPr/>
      </xdr:nvSpPr>
      <xdr:spPr>
        <a:xfrm>
          <a:off x="1285875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13</xdr:row>
      <xdr:rowOff>99987</xdr:rowOff>
    </xdr:from>
    <xdr:ext cx="0" cy="27940"/>
    <xdr:sp macro="" textlink="">
      <xdr:nvSpPr>
        <xdr:cNvPr id="120" name="Shape 120">
          <a:extLst>
            <a:ext uri="{FF2B5EF4-FFF2-40B4-BE49-F238E27FC236}">
              <a16:creationId xmlns:a16="http://schemas.microsoft.com/office/drawing/2014/main" id="{B3A59CE6-91F8-4898-8DBA-5EA18767AC08}"/>
            </a:ext>
          </a:extLst>
        </xdr:cNvPr>
        <xdr:cNvSpPr/>
      </xdr:nvSpPr>
      <xdr:spPr>
        <a:xfrm>
          <a:off x="2439583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13</xdr:row>
      <xdr:rowOff>99987</xdr:rowOff>
    </xdr:from>
    <xdr:ext cx="0" cy="27940"/>
    <xdr:sp macro="" textlink="">
      <xdr:nvSpPr>
        <xdr:cNvPr id="121" name="Shape 121">
          <a:extLst>
            <a:ext uri="{FF2B5EF4-FFF2-40B4-BE49-F238E27FC236}">
              <a16:creationId xmlns:a16="http://schemas.microsoft.com/office/drawing/2014/main" id="{DBCC5B47-0945-41DB-B7AA-1FEDC9E18F38}"/>
            </a:ext>
          </a:extLst>
        </xdr:cNvPr>
        <xdr:cNvSpPr/>
      </xdr:nvSpPr>
      <xdr:spPr>
        <a:xfrm>
          <a:off x="358341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13</xdr:row>
      <xdr:rowOff>99987</xdr:rowOff>
    </xdr:from>
    <xdr:ext cx="0" cy="27940"/>
    <xdr:sp macro="" textlink="">
      <xdr:nvSpPr>
        <xdr:cNvPr id="122" name="Shape 122">
          <a:extLst>
            <a:ext uri="{FF2B5EF4-FFF2-40B4-BE49-F238E27FC236}">
              <a16:creationId xmlns:a16="http://schemas.microsoft.com/office/drawing/2014/main" id="{801D49D2-B91C-4F78-91E3-54730250FE5D}"/>
            </a:ext>
          </a:extLst>
        </xdr:cNvPr>
        <xdr:cNvSpPr/>
      </xdr:nvSpPr>
      <xdr:spPr>
        <a:xfrm>
          <a:off x="4352461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15</xdr:row>
      <xdr:rowOff>100167</xdr:rowOff>
    </xdr:from>
    <xdr:ext cx="0" cy="27940"/>
    <xdr:sp macro="" textlink="">
      <xdr:nvSpPr>
        <xdr:cNvPr id="123" name="Shape 123">
          <a:extLst>
            <a:ext uri="{FF2B5EF4-FFF2-40B4-BE49-F238E27FC236}">
              <a16:creationId xmlns:a16="http://schemas.microsoft.com/office/drawing/2014/main" id="{62710911-D26F-4715-874F-C1FA5857F2D0}"/>
            </a:ext>
          </a:extLst>
        </xdr:cNvPr>
        <xdr:cNvSpPr/>
      </xdr:nvSpPr>
      <xdr:spPr>
        <a:xfrm>
          <a:off x="205809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15</xdr:row>
      <xdr:rowOff>100167</xdr:rowOff>
    </xdr:from>
    <xdr:ext cx="0" cy="27940"/>
    <xdr:sp macro="" textlink="">
      <xdr:nvSpPr>
        <xdr:cNvPr id="124" name="Shape 124">
          <a:extLst>
            <a:ext uri="{FF2B5EF4-FFF2-40B4-BE49-F238E27FC236}">
              <a16:creationId xmlns:a16="http://schemas.microsoft.com/office/drawing/2014/main" id="{BC2167FA-5B01-425F-B4FC-5974597599EB}"/>
            </a:ext>
          </a:extLst>
        </xdr:cNvPr>
        <xdr:cNvSpPr/>
      </xdr:nvSpPr>
      <xdr:spPr>
        <a:xfrm>
          <a:off x="320984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15</xdr:row>
      <xdr:rowOff>100167</xdr:rowOff>
    </xdr:from>
    <xdr:ext cx="0" cy="27940"/>
    <xdr:sp macro="" textlink="">
      <xdr:nvSpPr>
        <xdr:cNvPr id="125" name="Shape 125">
          <a:extLst>
            <a:ext uri="{FF2B5EF4-FFF2-40B4-BE49-F238E27FC236}">
              <a16:creationId xmlns:a16="http://schemas.microsoft.com/office/drawing/2014/main" id="{F307F7BC-7EFC-4D64-9DC0-6A7CC4F9DE0D}"/>
            </a:ext>
          </a:extLst>
        </xdr:cNvPr>
        <xdr:cNvSpPr/>
      </xdr:nvSpPr>
      <xdr:spPr>
        <a:xfrm>
          <a:off x="473262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15</xdr:row>
      <xdr:rowOff>100167</xdr:rowOff>
    </xdr:from>
    <xdr:ext cx="0" cy="27940"/>
    <xdr:sp macro="" textlink="">
      <xdr:nvSpPr>
        <xdr:cNvPr id="126" name="Shape 126">
          <a:extLst>
            <a:ext uri="{FF2B5EF4-FFF2-40B4-BE49-F238E27FC236}">
              <a16:creationId xmlns:a16="http://schemas.microsoft.com/office/drawing/2014/main" id="{C5910235-5786-4DCE-A72F-2255CE0BC8A3}"/>
            </a:ext>
          </a:extLst>
        </xdr:cNvPr>
        <xdr:cNvSpPr/>
      </xdr:nvSpPr>
      <xdr:spPr>
        <a:xfrm>
          <a:off x="1667078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15</xdr:row>
      <xdr:rowOff>100167</xdr:rowOff>
    </xdr:from>
    <xdr:ext cx="0" cy="27940"/>
    <xdr:sp macro="" textlink="">
      <xdr:nvSpPr>
        <xdr:cNvPr id="127" name="Shape 127">
          <a:extLst>
            <a:ext uri="{FF2B5EF4-FFF2-40B4-BE49-F238E27FC236}">
              <a16:creationId xmlns:a16="http://schemas.microsoft.com/office/drawing/2014/main" id="{E5B2F382-C8FD-4F06-ADF4-01218288D41E}"/>
            </a:ext>
          </a:extLst>
        </xdr:cNvPr>
        <xdr:cNvSpPr/>
      </xdr:nvSpPr>
      <xdr:spPr>
        <a:xfrm>
          <a:off x="282077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15</xdr:row>
      <xdr:rowOff>100167</xdr:rowOff>
    </xdr:from>
    <xdr:ext cx="0" cy="27940"/>
    <xdr:sp macro="" textlink="">
      <xdr:nvSpPr>
        <xdr:cNvPr id="128" name="Shape 128">
          <a:extLst>
            <a:ext uri="{FF2B5EF4-FFF2-40B4-BE49-F238E27FC236}">
              <a16:creationId xmlns:a16="http://schemas.microsoft.com/office/drawing/2014/main" id="{2D61ADC2-3B0B-4E83-9E18-77680143ABCD}"/>
            </a:ext>
          </a:extLst>
        </xdr:cNvPr>
        <xdr:cNvSpPr/>
      </xdr:nvSpPr>
      <xdr:spPr>
        <a:xfrm>
          <a:off x="390142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15</xdr:row>
      <xdr:rowOff>100167</xdr:rowOff>
    </xdr:from>
    <xdr:ext cx="0" cy="27940"/>
    <xdr:sp macro="" textlink="">
      <xdr:nvSpPr>
        <xdr:cNvPr id="129" name="Shape 129">
          <a:extLst>
            <a:ext uri="{FF2B5EF4-FFF2-40B4-BE49-F238E27FC236}">
              <a16:creationId xmlns:a16="http://schemas.microsoft.com/office/drawing/2014/main" id="{59408234-ABCC-465B-A076-054E2D9B5D80}"/>
            </a:ext>
          </a:extLst>
        </xdr:cNvPr>
        <xdr:cNvSpPr/>
      </xdr:nvSpPr>
      <xdr:spPr>
        <a:xfrm>
          <a:off x="512231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15</xdr:row>
      <xdr:rowOff>100167</xdr:rowOff>
    </xdr:from>
    <xdr:ext cx="0" cy="27940"/>
    <xdr:sp macro="" textlink="">
      <xdr:nvSpPr>
        <xdr:cNvPr id="130" name="Shape 130">
          <a:extLst>
            <a:ext uri="{FF2B5EF4-FFF2-40B4-BE49-F238E27FC236}">
              <a16:creationId xmlns:a16="http://schemas.microsoft.com/office/drawing/2014/main" id="{892D37B6-D5AE-4051-A516-12D006BCC858}"/>
            </a:ext>
          </a:extLst>
        </xdr:cNvPr>
        <xdr:cNvSpPr/>
      </xdr:nvSpPr>
      <xdr:spPr>
        <a:xfrm>
          <a:off x="1285875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15</xdr:row>
      <xdr:rowOff>100167</xdr:rowOff>
    </xdr:from>
    <xdr:ext cx="0" cy="27940"/>
    <xdr:sp macro="" textlink="">
      <xdr:nvSpPr>
        <xdr:cNvPr id="131" name="Shape 131">
          <a:extLst>
            <a:ext uri="{FF2B5EF4-FFF2-40B4-BE49-F238E27FC236}">
              <a16:creationId xmlns:a16="http://schemas.microsoft.com/office/drawing/2014/main" id="{E961779C-6835-47A9-B19C-5241F547F008}"/>
            </a:ext>
          </a:extLst>
        </xdr:cNvPr>
        <xdr:cNvSpPr/>
      </xdr:nvSpPr>
      <xdr:spPr>
        <a:xfrm>
          <a:off x="2439583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15</xdr:row>
      <xdr:rowOff>100167</xdr:rowOff>
    </xdr:from>
    <xdr:ext cx="0" cy="27940"/>
    <xdr:sp macro="" textlink="">
      <xdr:nvSpPr>
        <xdr:cNvPr id="132" name="Shape 132">
          <a:extLst>
            <a:ext uri="{FF2B5EF4-FFF2-40B4-BE49-F238E27FC236}">
              <a16:creationId xmlns:a16="http://schemas.microsoft.com/office/drawing/2014/main" id="{1D5A0A54-D909-4270-B22A-7058ACF5810F}"/>
            </a:ext>
          </a:extLst>
        </xdr:cNvPr>
        <xdr:cNvSpPr/>
      </xdr:nvSpPr>
      <xdr:spPr>
        <a:xfrm>
          <a:off x="358341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15</xdr:row>
      <xdr:rowOff>100167</xdr:rowOff>
    </xdr:from>
    <xdr:ext cx="0" cy="27940"/>
    <xdr:sp macro="" textlink="">
      <xdr:nvSpPr>
        <xdr:cNvPr id="133" name="Shape 133">
          <a:extLst>
            <a:ext uri="{FF2B5EF4-FFF2-40B4-BE49-F238E27FC236}">
              <a16:creationId xmlns:a16="http://schemas.microsoft.com/office/drawing/2014/main" id="{6739701C-47D8-4ECF-B9E7-70EE901BCD1B}"/>
            </a:ext>
          </a:extLst>
        </xdr:cNvPr>
        <xdr:cNvSpPr/>
      </xdr:nvSpPr>
      <xdr:spPr>
        <a:xfrm>
          <a:off x="4352461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16</xdr:row>
      <xdr:rowOff>100255</xdr:rowOff>
    </xdr:from>
    <xdr:ext cx="0" cy="27940"/>
    <xdr:sp macro="" textlink="">
      <xdr:nvSpPr>
        <xdr:cNvPr id="134" name="Shape 134">
          <a:extLst>
            <a:ext uri="{FF2B5EF4-FFF2-40B4-BE49-F238E27FC236}">
              <a16:creationId xmlns:a16="http://schemas.microsoft.com/office/drawing/2014/main" id="{C5677869-BDA4-4D9D-8048-A9477D39D335}"/>
            </a:ext>
          </a:extLst>
        </xdr:cNvPr>
        <xdr:cNvSpPr/>
      </xdr:nvSpPr>
      <xdr:spPr>
        <a:xfrm>
          <a:off x="2058090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16</xdr:row>
      <xdr:rowOff>100255</xdr:rowOff>
    </xdr:from>
    <xdr:ext cx="0" cy="27940"/>
    <xdr:sp macro="" textlink="">
      <xdr:nvSpPr>
        <xdr:cNvPr id="135" name="Shape 135">
          <a:extLst>
            <a:ext uri="{FF2B5EF4-FFF2-40B4-BE49-F238E27FC236}">
              <a16:creationId xmlns:a16="http://schemas.microsoft.com/office/drawing/2014/main" id="{B5F8EB8A-24F0-4193-A7FE-F331A60ACB6A}"/>
            </a:ext>
          </a:extLst>
        </xdr:cNvPr>
        <xdr:cNvSpPr/>
      </xdr:nvSpPr>
      <xdr:spPr>
        <a:xfrm>
          <a:off x="320984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16</xdr:row>
      <xdr:rowOff>100255</xdr:rowOff>
    </xdr:from>
    <xdr:ext cx="0" cy="27940"/>
    <xdr:sp macro="" textlink="">
      <xdr:nvSpPr>
        <xdr:cNvPr id="136" name="Shape 136">
          <a:extLst>
            <a:ext uri="{FF2B5EF4-FFF2-40B4-BE49-F238E27FC236}">
              <a16:creationId xmlns:a16="http://schemas.microsoft.com/office/drawing/2014/main" id="{A4F19752-5151-4D4C-A478-264793C6293E}"/>
            </a:ext>
          </a:extLst>
        </xdr:cNvPr>
        <xdr:cNvSpPr/>
      </xdr:nvSpPr>
      <xdr:spPr>
        <a:xfrm>
          <a:off x="4732545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16</xdr:row>
      <xdr:rowOff>100255</xdr:rowOff>
    </xdr:from>
    <xdr:ext cx="0" cy="27940"/>
    <xdr:sp macro="" textlink="">
      <xdr:nvSpPr>
        <xdr:cNvPr id="137" name="Shape 137">
          <a:extLst>
            <a:ext uri="{FF2B5EF4-FFF2-40B4-BE49-F238E27FC236}">
              <a16:creationId xmlns:a16="http://schemas.microsoft.com/office/drawing/2014/main" id="{B1606F73-09E0-4AF1-AE12-17AA93620248}"/>
            </a:ext>
          </a:extLst>
        </xdr:cNvPr>
        <xdr:cNvSpPr/>
      </xdr:nvSpPr>
      <xdr:spPr>
        <a:xfrm>
          <a:off x="1667078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16</xdr:row>
      <xdr:rowOff>100255</xdr:rowOff>
    </xdr:from>
    <xdr:ext cx="0" cy="27940"/>
    <xdr:sp macro="" textlink="">
      <xdr:nvSpPr>
        <xdr:cNvPr id="138" name="Shape 138">
          <a:extLst>
            <a:ext uri="{FF2B5EF4-FFF2-40B4-BE49-F238E27FC236}">
              <a16:creationId xmlns:a16="http://schemas.microsoft.com/office/drawing/2014/main" id="{299D650D-4180-4BCB-B7FC-FDC2866F6382}"/>
            </a:ext>
          </a:extLst>
        </xdr:cNvPr>
        <xdr:cNvSpPr/>
      </xdr:nvSpPr>
      <xdr:spPr>
        <a:xfrm>
          <a:off x="282077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16</xdr:row>
      <xdr:rowOff>100255</xdr:rowOff>
    </xdr:from>
    <xdr:ext cx="0" cy="27940"/>
    <xdr:sp macro="" textlink="">
      <xdr:nvSpPr>
        <xdr:cNvPr id="139" name="Shape 139">
          <a:extLst>
            <a:ext uri="{FF2B5EF4-FFF2-40B4-BE49-F238E27FC236}">
              <a16:creationId xmlns:a16="http://schemas.microsoft.com/office/drawing/2014/main" id="{CDF71949-7FF7-4D9B-8048-92F0A20F9DC3}"/>
            </a:ext>
          </a:extLst>
        </xdr:cNvPr>
        <xdr:cNvSpPr/>
      </xdr:nvSpPr>
      <xdr:spPr>
        <a:xfrm>
          <a:off x="390142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16</xdr:row>
      <xdr:rowOff>100255</xdr:rowOff>
    </xdr:from>
    <xdr:ext cx="0" cy="27940"/>
    <xdr:sp macro="" textlink="">
      <xdr:nvSpPr>
        <xdr:cNvPr id="140" name="Shape 140">
          <a:extLst>
            <a:ext uri="{FF2B5EF4-FFF2-40B4-BE49-F238E27FC236}">
              <a16:creationId xmlns:a16="http://schemas.microsoft.com/office/drawing/2014/main" id="{2A288079-DE42-4604-BC25-A9B6AC0B02B7}"/>
            </a:ext>
          </a:extLst>
        </xdr:cNvPr>
        <xdr:cNvSpPr/>
      </xdr:nvSpPr>
      <xdr:spPr>
        <a:xfrm>
          <a:off x="512231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16</xdr:row>
      <xdr:rowOff>100255</xdr:rowOff>
    </xdr:from>
    <xdr:ext cx="0" cy="27940"/>
    <xdr:sp macro="" textlink="">
      <xdr:nvSpPr>
        <xdr:cNvPr id="141" name="Shape 141">
          <a:extLst>
            <a:ext uri="{FF2B5EF4-FFF2-40B4-BE49-F238E27FC236}">
              <a16:creationId xmlns:a16="http://schemas.microsoft.com/office/drawing/2014/main" id="{79CFECBA-B110-4732-895B-95DB1C96A83C}"/>
            </a:ext>
          </a:extLst>
        </xdr:cNvPr>
        <xdr:cNvSpPr/>
      </xdr:nvSpPr>
      <xdr:spPr>
        <a:xfrm>
          <a:off x="374959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16</xdr:row>
      <xdr:rowOff>100255</xdr:rowOff>
    </xdr:from>
    <xdr:ext cx="0" cy="27940"/>
    <xdr:sp macro="" textlink="">
      <xdr:nvSpPr>
        <xdr:cNvPr id="142" name="Shape 142">
          <a:extLst>
            <a:ext uri="{FF2B5EF4-FFF2-40B4-BE49-F238E27FC236}">
              <a16:creationId xmlns:a16="http://schemas.microsoft.com/office/drawing/2014/main" id="{E7A35E4F-8806-487F-98E6-AE84E73AE980}"/>
            </a:ext>
          </a:extLst>
        </xdr:cNvPr>
        <xdr:cNvSpPr/>
      </xdr:nvSpPr>
      <xdr:spPr>
        <a:xfrm>
          <a:off x="2439583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16</xdr:row>
      <xdr:rowOff>100255</xdr:rowOff>
    </xdr:from>
    <xdr:ext cx="0" cy="27940"/>
    <xdr:sp macro="" textlink="">
      <xdr:nvSpPr>
        <xdr:cNvPr id="143" name="Shape 143">
          <a:extLst>
            <a:ext uri="{FF2B5EF4-FFF2-40B4-BE49-F238E27FC236}">
              <a16:creationId xmlns:a16="http://schemas.microsoft.com/office/drawing/2014/main" id="{06C2CD5B-FE1F-4C9F-A14A-F63705DC7AC6}"/>
            </a:ext>
          </a:extLst>
        </xdr:cNvPr>
        <xdr:cNvSpPr/>
      </xdr:nvSpPr>
      <xdr:spPr>
        <a:xfrm>
          <a:off x="3583410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16</xdr:row>
      <xdr:rowOff>100255</xdr:rowOff>
    </xdr:from>
    <xdr:ext cx="0" cy="27940"/>
    <xdr:sp macro="" textlink="">
      <xdr:nvSpPr>
        <xdr:cNvPr id="144" name="Shape 144">
          <a:extLst>
            <a:ext uri="{FF2B5EF4-FFF2-40B4-BE49-F238E27FC236}">
              <a16:creationId xmlns:a16="http://schemas.microsoft.com/office/drawing/2014/main" id="{5876D57E-43AE-4653-9F41-B40778091810}"/>
            </a:ext>
          </a:extLst>
        </xdr:cNvPr>
        <xdr:cNvSpPr/>
      </xdr:nvSpPr>
      <xdr:spPr>
        <a:xfrm>
          <a:off x="4352461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18</xdr:row>
      <xdr:rowOff>100434</xdr:rowOff>
    </xdr:from>
    <xdr:ext cx="0" cy="27940"/>
    <xdr:sp macro="" textlink="">
      <xdr:nvSpPr>
        <xdr:cNvPr id="145" name="Shape 145">
          <a:extLst>
            <a:ext uri="{FF2B5EF4-FFF2-40B4-BE49-F238E27FC236}">
              <a16:creationId xmlns:a16="http://schemas.microsoft.com/office/drawing/2014/main" id="{667EBCDB-D726-4D7E-ABA8-7C717E645DB4}"/>
            </a:ext>
          </a:extLst>
        </xdr:cNvPr>
        <xdr:cNvSpPr/>
      </xdr:nvSpPr>
      <xdr:spPr>
        <a:xfrm>
          <a:off x="2058090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18</xdr:row>
      <xdr:rowOff>100434</xdr:rowOff>
    </xdr:from>
    <xdr:ext cx="0" cy="27940"/>
    <xdr:sp macro="" textlink="">
      <xdr:nvSpPr>
        <xdr:cNvPr id="146" name="Shape 146">
          <a:extLst>
            <a:ext uri="{FF2B5EF4-FFF2-40B4-BE49-F238E27FC236}">
              <a16:creationId xmlns:a16="http://schemas.microsoft.com/office/drawing/2014/main" id="{E8EF0D31-4F77-4098-91D2-42150B8E6B8E}"/>
            </a:ext>
          </a:extLst>
        </xdr:cNvPr>
        <xdr:cNvSpPr/>
      </xdr:nvSpPr>
      <xdr:spPr>
        <a:xfrm>
          <a:off x="320984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18</xdr:row>
      <xdr:rowOff>100434</xdr:rowOff>
    </xdr:from>
    <xdr:ext cx="0" cy="27940"/>
    <xdr:sp macro="" textlink="">
      <xdr:nvSpPr>
        <xdr:cNvPr id="147" name="Shape 147">
          <a:extLst>
            <a:ext uri="{FF2B5EF4-FFF2-40B4-BE49-F238E27FC236}">
              <a16:creationId xmlns:a16="http://schemas.microsoft.com/office/drawing/2014/main" id="{D0273FEA-D505-45F0-B466-26040E4718C0}"/>
            </a:ext>
          </a:extLst>
        </xdr:cNvPr>
        <xdr:cNvSpPr/>
      </xdr:nvSpPr>
      <xdr:spPr>
        <a:xfrm>
          <a:off x="4732545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18</xdr:row>
      <xdr:rowOff>100434</xdr:rowOff>
    </xdr:from>
    <xdr:ext cx="0" cy="27940"/>
    <xdr:sp macro="" textlink="">
      <xdr:nvSpPr>
        <xdr:cNvPr id="148" name="Shape 148">
          <a:extLst>
            <a:ext uri="{FF2B5EF4-FFF2-40B4-BE49-F238E27FC236}">
              <a16:creationId xmlns:a16="http://schemas.microsoft.com/office/drawing/2014/main" id="{051B4386-3C25-47E2-B4B3-2B480A526885}"/>
            </a:ext>
          </a:extLst>
        </xdr:cNvPr>
        <xdr:cNvSpPr/>
      </xdr:nvSpPr>
      <xdr:spPr>
        <a:xfrm>
          <a:off x="1667078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18</xdr:row>
      <xdr:rowOff>100434</xdr:rowOff>
    </xdr:from>
    <xdr:ext cx="0" cy="27940"/>
    <xdr:sp macro="" textlink="">
      <xdr:nvSpPr>
        <xdr:cNvPr id="149" name="Shape 149">
          <a:extLst>
            <a:ext uri="{FF2B5EF4-FFF2-40B4-BE49-F238E27FC236}">
              <a16:creationId xmlns:a16="http://schemas.microsoft.com/office/drawing/2014/main" id="{70756D1D-1A07-41C1-BD88-388C6F19EEB3}"/>
            </a:ext>
          </a:extLst>
        </xdr:cNvPr>
        <xdr:cNvSpPr/>
      </xdr:nvSpPr>
      <xdr:spPr>
        <a:xfrm>
          <a:off x="282077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18</xdr:row>
      <xdr:rowOff>100434</xdr:rowOff>
    </xdr:from>
    <xdr:ext cx="0" cy="27940"/>
    <xdr:sp macro="" textlink="">
      <xdr:nvSpPr>
        <xdr:cNvPr id="150" name="Shape 150">
          <a:extLst>
            <a:ext uri="{FF2B5EF4-FFF2-40B4-BE49-F238E27FC236}">
              <a16:creationId xmlns:a16="http://schemas.microsoft.com/office/drawing/2014/main" id="{2ABC3D7F-634E-4E36-96C6-BCE10896DDC9}"/>
            </a:ext>
          </a:extLst>
        </xdr:cNvPr>
        <xdr:cNvSpPr/>
      </xdr:nvSpPr>
      <xdr:spPr>
        <a:xfrm>
          <a:off x="390142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18</xdr:row>
      <xdr:rowOff>100434</xdr:rowOff>
    </xdr:from>
    <xdr:ext cx="0" cy="27940"/>
    <xdr:sp macro="" textlink="">
      <xdr:nvSpPr>
        <xdr:cNvPr id="151" name="Shape 151">
          <a:extLst>
            <a:ext uri="{FF2B5EF4-FFF2-40B4-BE49-F238E27FC236}">
              <a16:creationId xmlns:a16="http://schemas.microsoft.com/office/drawing/2014/main" id="{C30F4382-006D-4C23-A6E7-B0C37A36A368}"/>
            </a:ext>
          </a:extLst>
        </xdr:cNvPr>
        <xdr:cNvSpPr/>
      </xdr:nvSpPr>
      <xdr:spPr>
        <a:xfrm>
          <a:off x="512231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100434</xdr:rowOff>
    </xdr:from>
    <xdr:ext cx="0" cy="27940"/>
    <xdr:sp macro="" textlink="">
      <xdr:nvSpPr>
        <xdr:cNvPr id="152" name="Shape 152">
          <a:extLst>
            <a:ext uri="{FF2B5EF4-FFF2-40B4-BE49-F238E27FC236}">
              <a16:creationId xmlns:a16="http://schemas.microsoft.com/office/drawing/2014/main" id="{706AF4A7-8A0B-4F03-A222-74B27E0A0A2D}"/>
            </a:ext>
          </a:extLst>
        </xdr:cNvPr>
        <xdr:cNvSpPr/>
      </xdr:nvSpPr>
      <xdr:spPr>
        <a:xfrm>
          <a:off x="374959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18</xdr:row>
      <xdr:rowOff>100434</xdr:rowOff>
    </xdr:from>
    <xdr:ext cx="0" cy="27940"/>
    <xdr:sp macro="" textlink="">
      <xdr:nvSpPr>
        <xdr:cNvPr id="153" name="Shape 153">
          <a:extLst>
            <a:ext uri="{FF2B5EF4-FFF2-40B4-BE49-F238E27FC236}">
              <a16:creationId xmlns:a16="http://schemas.microsoft.com/office/drawing/2014/main" id="{28A3E100-BC0E-4168-9974-E8B1B364F30F}"/>
            </a:ext>
          </a:extLst>
        </xdr:cNvPr>
        <xdr:cNvSpPr/>
      </xdr:nvSpPr>
      <xdr:spPr>
        <a:xfrm>
          <a:off x="2439583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18</xdr:row>
      <xdr:rowOff>100434</xdr:rowOff>
    </xdr:from>
    <xdr:ext cx="0" cy="27940"/>
    <xdr:sp macro="" textlink="">
      <xdr:nvSpPr>
        <xdr:cNvPr id="154" name="Shape 154">
          <a:extLst>
            <a:ext uri="{FF2B5EF4-FFF2-40B4-BE49-F238E27FC236}">
              <a16:creationId xmlns:a16="http://schemas.microsoft.com/office/drawing/2014/main" id="{AA794F9A-46DA-462D-A355-B025818044C2}"/>
            </a:ext>
          </a:extLst>
        </xdr:cNvPr>
        <xdr:cNvSpPr/>
      </xdr:nvSpPr>
      <xdr:spPr>
        <a:xfrm>
          <a:off x="3583410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18</xdr:row>
      <xdr:rowOff>100434</xdr:rowOff>
    </xdr:from>
    <xdr:ext cx="0" cy="27940"/>
    <xdr:sp macro="" textlink="">
      <xdr:nvSpPr>
        <xdr:cNvPr id="155" name="Shape 155">
          <a:extLst>
            <a:ext uri="{FF2B5EF4-FFF2-40B4-BE49-F238E27FC236}">
              <a16:creationId xmlns:a16="http://schemas.microsoft.com/office/drawing/2014/main" id="{F8FCF098-5202-4D42-B0BE-46AB0FFA68E1}"/>
            </a:ext>
          </a:extLst>
        </xdr:cNvPr>
        <xdr:cNvSpPr/>
      </xdr:nvSpPr>
      <xdr:spPr>
        <a:xfrm>
          <a:off x="4352461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17</xdr:row>
      <xdr:rowOff>100343</xdr:rowOff>
    </xdr:from>
    <xdr:ext cx="0" cy="27940"/>
    <xdr:sp macro="" textlink="">
      <xdr:nvSpPr>
        <xdr:cNvPr id="156" name="Shape 156">
          <a:extLst>
            <a:ext uri="{FF2B5EF4-FFF2-40B4-BE49-F238E27FC236}">
              <a16:creationId xmlns:a16="http://schemas.microsoft.com/office/drawing/2014/main" id="{2EC81AB2-CD71-4E71-8793-59DAEEBEF897}"/>
            </a:ext>
          </a:extLst>
        </xdr:cNvPr>
        <xdr:cNvSpPr/>
      </xdr:nvSpPr>
      <xdr:spPr>
        <a:xfrm>
          <a:off x="2058090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17</xdr:row>
      <xdr:rowOff>100343</xdr:rowOff>
    </xdr:from>
    <xdr:ext cx="0" cy="27940"/>
    <xdr:sp macro="" textlink="">
      <xdr:nvSpPr>
        <xdr:cNvPr id="157" name="Shape 157">
          <a:extLst>
            <a:ext uri="{FF2B5EF4-FFF2-40B4-BE49-F238E27FC236}">
              <a16:creationId xmlns:a16="http://schemas.microsoft.com/office/drawing/2014/main" id="{252D5CB5-B175-458E-8256-7A1438B2A9F4}"/>
            </a:ext>
          </a:extLst>
        </xdr:cNvPr>
        <xdr:cNvSpPr/>
      </xdr:nvSpPr>
      <xdr:spPr>
        <a:xfrm>
          <a:off x="320984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17</xdr:row>
      <xdr:rowOff>100343</xdr:rowOff>
    </xdr:from>
    <xdr:ext cx="0" cy="27940"/>
    <xdr:sp macro="" textlink="">
      <xdr:nvSpPr>
        <xdr:cNvPr id="158" name="Shape 158">
          <a:extLst>
            <a:ext uri="{FF2B5EF4-FFF2-40B4-BE49-F238E27FC236}">
              <a16:creationId xmlns:a16="http://schemas.microsoft.com/office/drawing/2014/main" id="{C6A84C19-F58C-48AD-9539-CF898598B5DB}"/>
            </a:ext>
          </a:extLst>
        </xdr:cNvPr>
        <xdr:cNvSpPr/>
      </xdr:nvSpPr>
      <xdr:spPr>
        <a:xfrm>
          <a:off x="4732545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17</xdr:row>
      <xdr:rowOff>100343</xdr:rowOff>
    </xdr:from>
    <xdr:ext cx="0" cy="27940"/>
    <xdr:sp macro="" textlink="">
      <xdr:nvSpPr>
        <xdr:cNvPr id="159" name="Shape 159">
          <a:extLst>
            <a:ext uri="{FF2B5EF4-FFF2-40B4-BE49-F238E27FC236}">
              <a16:creationId xmlns:a16="http://schemas.microsoft.com/office/drawing/2014/main" id="{240B4237-2E9B-44D2-9B2C-4CA5E34B20F6}"/>
            </a:ext>
          </a:extLst>
        </xdr:cNvPr>
        <xdr:cNvSpPr/>
      </xdr:nvSpPr>
      <xdr:spPr>
        <a:xfrm>
          <a:off x="1667078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17</xdr:row>
      <xdr:rowOff>100343</xdr:rowOff>
    </xdr:from>
    <xdr:ext cx="0" cy="27940"/>
    <xdr:sp macro="" textlink="">
      <xdr:nvSpPr>
        <xdr:cNvPr id="160" name="Shape 160">
          <a:extLst>
            <a:ext uri="{FF2B5EF4-FFF2-40B4-BE49-F238E27FC236}">
              <a16:creationId xmlns:a16="http://schemas.microsoft.com/office/drawing/2014/main" id="{CEB69089-5B1D-431C-B573-73B1976647F6}"/>
            </a:ext>
          </a:extLst>
        </xdr:cNvPr>
        <xdr:cNvSpPr/>
      </xdr:nvSpPr>
      <xdr:spPr>
        <a:xfrm>
          <a:off x="282077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17</xdr:row>
      <xdr:rowOff>100343</xdr:rowOff>
    </xdr:from>
    <xdr:ext cx="0" cy="27940"/>
    <xdr:sp macro="" textlink="">
      <xdr:nvSpPr>
        <xdr:cNvPr id="161" name="Shape 161">
          <a:extLst>
            <a:ext uri="{FF2B5EF4-FFF2-40B4-BE49-F238E27FC236}">
              <a16:creationId xmlns:a16="http://schemas.microsoft.com/office/drawing/2014/main" id="{4580FDBE-75F3-4343-AF3C-EC6C0EB325E8}"/>
            </a:ext>
          </a:extLst>
        </xdr:cNvPr>
        <xdr:cNvSpPr/>
      </xdr:nvSpPr>
      <xdr:spPr>
        <a:xfrm>
          <a:off x="390142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17</xdr:row>
      <xdr:rowOff>100343</xdr:rowOff>
    </xdr:from>
    <xdr:ext cx="0" cy="27940"/>
    <xdr:sp macro="" textlink="">
      <xdr:nvSpPr>
        <xdr:cNvPr id="162" name="Shape 162">
          <a:extLst>
            <a:ext uri="{FF2B5EF4-FFF2-40B4-BE49-F238E27FC236}">
              <a16:creationId xmlns:a16="http://schemas.microsoft.com/office/drawing/2014/main" id="{4790DC0B-E7DD-477B-9EA2-DEA29C90DC92}"/>
            </a:ext>
          </a:extLst>
        </xdr:cNvPr>
        <xdr:cNvSpPr/>
      </xdr:nvSpPr>
      <xdr:spPr>
        <a:xfrm>
          <a:off x="512231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100343</xdr:rowOff>
    </xdr:from>
    <xdr:ext cx="0" cy="27940"/>
    <xdr:sp macro="" textlink="">
      <xdr:nvSpPr>
        <xdr:cNvPr id="163" name="Shape 163">
          <a:extLst>
            <a:ext uri="{FF2B5EF4-FFF2-40B4-BE49-F238E27FC236}">
              <a16:creationId xmlns:a16="http://schemas.microsoft.com/office/drawing/2014/main" id="{26753853-6C7D-4D60-9F8B-4D8C6C7DF822}"/>
            </a:ext>
          </a:extLst>
        </xdr:cNvPr>
        <xdr:cNvSpPr/>
      </xdr:nvSpPr>
      <xdr:spPr>
        <a:xfrm>
          <a:off x="374959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17</xdr:row>
      <xdr:rowOff>100343</xdr:rowOff>
    </xdr:from>
    <xdr:ext cx="0" cy="27940"/>
    <xdr:sp macro="" textlink="">
      <xdr:nvSpPr>
        <xdr:cNvPr id="164" name="Shape 164">
          <a:extLst>
            <a:ext uri="{FF2B5EF4-FFF2-40B4-BE49-F238E27FC236}">
              <a16:creationId xmlns:a16="http://schemas.microsoft.com/office/drawing/2014/main" id="{2E7397B6-D084-4478-BCA9-131130C162B3}"/>
            </a:ext>
          </a:extLst>
        </xdr:cNvPr>
        <xdr:cNvSpPr/>
      </xdr:nvSpPr>
      <xdr:spPr>
        <a:xfrm>
          <a:off x="2439583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17</xdr:row>
      <xdr:rowOff>100343</xdr:rowOff>
    </xdr:from>
    <xdr:ext cx="0" cy="27940"/>
    <xdr:sp macro="" textlink="">
      <xdr:nvSpPr>
        <xdr:cNvPr id="165" name="Shape 165">
          <a:extLst>
            <a:ext uri="{FF2B5EF4-FFF2-40B4-BE49-F238E27FC236}">
              <a16:creationId xmlns:a16="http://schemas.microsoft.com/office/drawing/2014/main" id="{9A5DB7AE-3498-47A3-B3FF-FC685772E426}"/>
            </a:ext>
          </a:extLst>
        </xdr:cNvPr>
        <xdr:cNvSpPr/>
      </xdr:nvSpPr>
      <xdr:spPr>
        <a:xfrm>
          <a:off x="3583410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17</xdr:row>
      <xdr:rowOff>100343</xdr:rowOff>
    </xdr:from>
    <xdr:ext cx="0" cy="27940"/>
    <xdr:sp macro="" textlink="">
      <xdr:nvSpPr>
        <xdr:cNvPr id="166" name="Shape 166">
          <a:extLst>
            <a:ext uri="{FF2B5EF4-FFF2-40B4-BE49-F238E27FC236}">
              <a16:creationId xmlns:a16="http://schemas.microsoft.com/office/drawing/2014/main" id="{8BFE3CA0-8083-4BDD-8740-DD990FA04634}"/>
            </a:ext>
          </a:extLst>
        </xdr:cNvPr>
        <xdr:cNvSpPr/>
      </xdr:nvSpPr>
      <xdr:spPr>
        <a:xfrm>
          <a:off x="4352461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19</xdr:row>
      <xdr:rowOff>100520</xdr:rowOff>
    </xdr:from>
    <xdr:ext cx="0" cy="27940"/>
    <xdr:sp macro="" textlink="">
      <xdr:nvSpPr>
        <xdr:cNvPr id="167" name="Shape 167">
          <a:extLst>
            <a:ext uri="{FF2B5EF4-FFF2-40B4-BE49-F238E27FC236}">
              <a16:creationId xmlns:a16="http://schemas.microsoft.com/office/drawing/2014/main" id="{54888DBB-F12C-4072-B17A-D693EAA9EC5D}"/>
            </a:ext>
          </a:extLst>
        </xdr:cNvPr>
        <xdr:cNvSpPr/>
      </xdr:nvSpPr>
      <xdr:spPr>
        <a:xfrm>
          <a:off x="2058090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19</xdr:row>
      <xdr:rowOff>100520</xdr:rowOff>
    </xdr:from>
    <xdr:ext cx="0" cy="27940"/>
    <xdr:sp macro="" textlink="">
      <xdr:nvSpPr>
        <xdr:cNvPr id="168" name="Shape 168">
          <a:extLst>
            <a:ext uri="{FF2B5EF4-FFF2-40B4-BE49-F238E27FC236}">
              <a16:creationId xmlns:a16="http://schemas.microsoft.com/office/drawing/2014/main" id="{2375AF6F-BC96-4C4F-A646-3134E8065FAB}"/>
            </a:ext>
          </a:extLst>
        </xdr:cNvPr>
        <xdr:cNvSpPr/>
      </xdr:nvSpPr>
      <xdr:spPr>
        <a:xfrm>
          <a:off x="320984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19</xdr:row>
      <xdr:rowOff>100520</xdr:rowOff>
    </xdr:from>
    <xdr:ext cx="0" cy="27940"/>
    <xdr:sp macro="" textlink="">
      <xdr:nvSpPr>
        <xdr:cNvPr id="169" name="Shape 169">
          <a:extLst>
            <a:ext uri="{FF2B5EF4-FFF2-40B4-BE49-F238E27FC236}">
              <a16:creationId xmlns:a16="http://schemas.microsoft.com/office/drawing/2014/main" id="{78D43279-16C8-4E4B-AC26-1D6CF605B92C}"/>
            </a:ext>
          </a:extLst>
        </xdr:cNvPr>
        <xdr:cNvSpPr/>
      </xdr:nvSpPr>
      <xdr:spPr>
        <a:xfrm>
          <a:off x="4732545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19</xdr:row>
      <xdr:rowOff>100520</xdr:rowOff>
    </xdr:from>
    <xdr:ext cx="0" cy="27940"/>
    <xdr:sp macro="" textlink="">
      <xdr:nvSpPr>
        <xdr:cNvPr id="170" name="Shape 170">
          <a:extLst>
            <a:ext uri="{FF2B5EF4-FFF2-40B4-BE49-F238E27FC236}">
              <a16:creationId xmlns:a16="http://schemas.microsoft.com/office/drawing/2014/main" id="{E1F3E8C3-07D0-430A-B94F-50DA5F71F3BC}"/>
            </a:ext>
          </a:extLst>
        </xdr:cNvPr>
        <xdr:cNvSpPr/>
      </xdr:nvSpPr>
      <xdr:spPr>
        <a:xfrm>
          <a:off x="1667078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19</xdr:row>
      <xdr:rowOff>100520</xdr:rowOff>
    </xdr:from>
    <xdr:ext cx="0" cy="27940"/>
    <xdr:sp macro="" textlink="">
      <xdr:nvSpPr>
        <xdr:cNvPr id="171" name="Shape 171">
          <a:extLst>
            <a:ext uri="{FF2B5EF4-FFF2-40B4-BE49-F238E27FC236}">
              <a16:creationId xmlns:a16="http://schemas.microsoft.com/office/drawing/2014/main" id="{AE394BFD-E0EE-418F-A1E5-8241590F4E2E}"/>
            </a:ext>
          </a:extLst>
        </xdr:cNvPr>
        <xdr:cNvSpPr/>
      </xdr:nvSpPr>
      <xdr:spPr>
        <a:xfrm>
          <a:off x="282077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19</xdr:row>
      <xdr:rowOff>100520</xdr:rowOff>
    </xdr:from>
    <xdr:ext cx="0" cy="27940"/>
    <xdr:sp macro="" textlink="">
      <xdr:nvSpPr>
        <xdr:cNvPr id="172" name="Shape 172">
          <a:extLst>
            <a:ext uri="{FF2B5EF4-FFF2-40B4-BE49-F238E27FC236}">
              <a16:creationId xmlns:a16="http://schemas.microsoft.com/office/drawing/2014/main" id="{C567568B-7CF3-4459-9B88-AA6335245163}"/>
            </a:ext>
          </a:extLst>
        </xdr:cNvPr>
        <xdr:cNvSpPr/>
      </xdr:nvSpPr>
      <xdr:spPr>
        <a:xfrm>
          <a:off x="390142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19</xdr:row>
      <xdr:rowOff>100520</xdr:rowOff>
    </xdr:from>
    <xdr:ext cx="0" cy="27940"/>
    <xdr:sp macro="" textlink="">
      <xdr:nvSpPr>
        <xdr:cNvPr id="173" name="Shape 173">
          <a:extLst>
            <a:ext uri="{FF2B5EF4-FFF2-40B4-BE49-F238E27FC236}">
              <a16:creationId xmlns:a16="http://schemas.microsoft.com/office/drawing/2014/main" id="{D7E788B6-B73D-41BC-BC38-5C1B5DCF4F43}"/>
            </a:ext>
          </a:extLst>
        </xdr:cNvPr>
        <xdr:cNvSpPr/>
      </xdr:nvSpPr>
      <xdr:spPr>
        <a:xfrm>
          <a:off x="512231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100520</xdr:rowOff>
    </xdr:from>
    <xdr:ext cx="0" cy="27940"/>
    <xdr:sp macro="" textlink="">
      <xdr:nvSpPr>
        <xdr:cNvPr id="174" name="Shape 174">
          <a:extLst>
            <a:ext uri="{FF2B5EF4-FFF2-40B4-BE49-F238E27FC236}">
              <a16:creationId xmlns:a16="http://schemas.microsoft.com/office/drawing/2014/main" id="{88264A40-9106-4562-8340-29270A22B05E}"/>
            </a:ext>
          </a:extLst>
        </xdr:cNvPr>
        <xdr:cNvSpPr/>
      </xdr:nvSpPr>
      <xdr:spPr>
        <a:xfrm>
          <a:off x="374959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19</xdr:row>
      <xdr:rowOff>100520</xdr:rowOff>
    </xdr:from>
    <xdr:ext cx="0" cy="27940"/>
    <xdr:sp macro="" textlink="">
      <xdr:nvSpPr>
        <xdr:cNvPr id="175" name="Shape 175">
          <a:extLst>
            <a:ext uri="{FF2B5EF4-FFF2-40B4-BE49-F238E27FC236}">
              <a16:creationId xmlns:a16="http://schemas.microsoft.com/office/drawing/2014/main" id="{C984BB34-B1F5-4AFA-AA1C-497B17AD9CF5}"/>
            </a:ext>
          </a:extLst>
        </xdr:cNvPr>
        <xdr:cNvSpPr/>
      </xdr:nvSpPr>
      <xdr:spPr>
        <a:xfrm>
          <a:off x="2439583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19</xdr:row>
      <xdr:rowOff>100520</xdr:rowOff>
    </xdr:from>
    <xdr:ext cx="0" cy="27940"/>
    <xdr:sp macro="" textlink="">
      <xdr:nvSpPr>
        <xdr:cNvPr id="176" name="Shape 176">
          <a:extLst>
            <a:ext uri="{FF2B5EF4-FFF2-40B4-BE49-F238E27FC236}">
              <a16:creationId xmlns:a16="http://schemas.microsoft.com/office/drawing/2014/main" id="{F6B3F9BD-49E9-4FC5-BF36-36205FB17625}"/>
            </a:ext>
          </a:extLst>
        </xdr:cNvPr>
        <xdr:cNvSpPr/>
      </xdr:nvSpPr>
      <xdr:spPr>
        <a:xfrm>
          <a:off x="3583410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19</xdr:row>
      <xdr:rowOff>100520</xdr:rowOff>
    </xdr:from>
    <xdr:ext cx="0" cy="27940"/>
    <xdr:sp macro="" textlink="">
      <xdr:nvSpPr>
        <xdr:cNvPr id="177" name="Shape 177">
          <a:extLst>
            <a:ext uri="{FF2B5EF4-FFF2-40B4-BE49-F238E27FC236}">
              <a16:creationId xmlns:a16="http://schemas.microsoft.com/office/drawing/2014/main" id="{3B389B8C-FBB3-4D98-BA38-36A518888787}"/>
            </a:ext>
          </a:extLst>
        </xdr:cNvPr>
        <xdr:cNvSpPr/>
      </xdr:nvSpPr>
      <xdr:spPr>
        <a:xfrm>
          <a:off x="4352461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21</xdr:row>
      <xdr:rowOff>100700</xdr:rowOff>
    </xdr:from>
    <xdr:ext cx="0" cy="27940"/>
    <xdr:sp macro="" textlink="">
      <xdr:nvSpPr>
        <xdr:cNvPr id="178" name="Shape 178">
          <a:extLst>
            <a:ext uri="{FF2B5EF4-FFF2-40B4-BE49-F238E27FC236}">
              <a16:creationId xmlns:a16="http://schemas.microsoft.com/office/drawing/2014/main" id="{B48EAF23-9DA9-420F-9057-C4FB3FA39A74}"/>
            </a:ext>
          </a:extLst>
        </xdr:cNvPr>
        <xdr:cNvSpPr/>
      </xdr:nvSpPr>
      <xdr:spPr>
        <a:xfrm>
          <a:off x="205809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21</xdr:row>
      <xdr:rowOff>100700</xdr:rowOff>
    </xdr:from>
    <xdr:ext cx="0" cy="27940"/>
    <xdr:sp macro="" textlink="">
      <xdr:nvSpPr>
        <xdr:cNvPr id="179" name="Shape 179">
          <a:extLst>
            <a:ext uri="{FF2B5EF4-FFF2-40B4-BE49-F238E27FC236}">
              <a16:creationId xmlns:a16="http://schemas.microsoft.com/office/drawing/2014/main" id="{46BD87A3-703C-4C8C-8CB2-C1983062F91D}"/>
            </a:ext>
          </a:extLst>
        </xdr:cNvPr>
        <xdr:cNvSpPr/>
      </xdr:nvSpPr>
      <xdr:spPr>
        <a:xfrm>
          <a:off x="320984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21</xdr:row>
      <xdr:rowOff>100700</xdr:rowOff>
    </xdr:from>
    <xdr:ext cx="0" cy="27940"/>
    <xdr:sp macro="" textlink="">
      <xdr:nvSpPr>
        <xdr:cNvPr id="180" name="Shape 180">
          <a:extLst>
            <a:ext uri="{FF2B5EF4-FFF2-40B4-BE49-F238E27FC236}">
              <a16:creationId xmlns:a16="http://schemas.microsoft.com/office/drawing/2014/main" id="{4448945C-570C-4873-9B3C-9F86748C0A2D}"/>
            </a:ext>
          </a:extLst>
        </xdr:cNvPr>
        <xdr:cNvSpPr/>
      </xdr:nvSpPr>
      <xdr:spPr>
        <a:xfrm>
          <a:off x="473262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21</xdr:row>
      <xdr:rowOff>100700</xdr:rowOff>
    </xdr:from>
    <xdr:ext cx="0" cy="27940"/>
    <xdr:sp macro="" textlink="">
      <xdr:nvSpPr>
        <xdr:cNvPr id="181" name="Shape 181">
          <a:extLst>
            <a:ext uri="{FF2B5EF4-FFF2-40B4-BE49-F238E27FC236}">
              <a16:creationId xmlns:a16="http://schemas.microsoft.com/office/drawing/2014/main" id="{BE28D65D-AD28-46BA-A3FF-37DE4F7B4D21}"/>
            </a:ext>
          </a:extLst>
        </xdr:cNvPr>
        <xdr:cNvSpPr/>
      </xdr:nvSpPr>
      <xdr:spPr>
        <a:xfrm>
          <a:off x="1667078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21</xdr:row>
      <xdr:rowOff>100700</xdr:rowOff>
    </xdr:from>
    <xdr:ext cx="0" cy="27940"/>
    <xdr:sp macro="" textlink="">
      <xdr:nvSpPr>
        <xdr:cNvPr id="182" name="Shape 182">
          <a:extLst>
            <a:ext uri="{FF2B5EF4-FFF2-40B4-BE49-F238E27FC236}">
              <a16:creationId xmlns:a16="http://schemas.microsoft.com/office/drawing/2014/main" id="{B7B73F79-B008-46A5-8674-B242F4A41540}"/>
            </a:ext>
          </a:extLst>
        </xdr:cNvPr>
        <xdr:cNvSpPr/>
      </xdr:nvSpPr>
      <xdr:spPr>
        <a:xfrm>
          <a:off x="282077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21</xdr:row>
      <xdr:rowOff>100700</xdr:rowOff>
    </xdr:from>
    <xdr:ext cx="0" cy="27940"/>
    <xdr:sp macro="" textlink="">
      <xdr:nvSpPr>
        <xdr:cNvPr id="183" name="Shape 183">
          <a:extLst>
            <a:ext uri="{FF2B5EF4-FFF2-40B4-BE49-F238E27FC236}">
              <a16:creationId xmlns:a16="http://schemas.microsoft.com/office/drawing/2014/main" id="{AF2534AC-5A07-4599-ADB3-9E59CB9858DA}"/>
            </a:ext>
          </a:extLst>
        </xdr:cNvPr>
        <xdr:cNvSpPr/>
      </xdr:nvSpPr>
      <xdr:spPr>
        <a:xfrm>
          <a:off x="390142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21</xdr:row>
      <xdr:rowOff>100700</xdr:rowOff>
    </xdr:from>
    <xdr:ext cx="0" cy="27940"/>
    <xdr:sp macro="" textlink="">
      <xdr:nvSpPr>
        <xdr:cNvPr id="184" name="Shape 184">
          <a:extLst>
            <a:ext uri="{FF2B5EF4-FFF2-40B4-BE49-F238E27FC236}">
              <a16:creationId xmlns:a16="http://schemas.microsoft.com/office/drawing/2014/main" id="{58EE5953-1529-4EA4-9B7B-7D59126EE1BF}"/>
            </a:ext>
          </a:extLst>
        </xdr:cNvPr>
        <xdr:cNvSpPr/>
      </xdr:nvSpPr>
      <xdr:spPr>
        <a:xfrm>
          <a:off x="512231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21</xdr:row>
      <xdr:rowOff>100700</xdr:rowOff>
    </xdr:from>
    <xdr:ext cx="0" cy="27940"/>
    <xdr:sp macro="" textlink="">
      <xdr:nvSpPr>
        <xdr:cNvPr id="185" name="Shape 185">
          <a:extLst>
            <a:ext uri="{FF2B5EF4-FFF2-40B4-BE49-F238E27FC236}">
              <a16:creationId xmlns:a16="http://schemas.microsoft.com/office/drawing/2014/main" id="{C8E928D3-EDC8-424A-AB75-01810618AA09}"/>
            </a:ext>
          </a:extLst>
        </xdr:cNvPr>
        <xdr:cNvSpPr/>
      </xdr:nvSpPr>
      <xdr:spPr>
        <a:xfrm>
          <a:off x="1285875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21</xdr:row>
      <xdr:rowOff>100700</xdr:rowOff>
    </xdr:from>
    <xdr:ext cx="0" cy="27940"/>
    <xdr:sp macro="" textlink="">
      <xdr:nvSpPr>
        <xdr:cNvPr id="186" name="Shape 186">
          <a:extLst>
            <a:ext uri="{FF2B5EF4-FFF2-40B4-BE49-F238E27FC236}">
              <a16:creationId xmlns:a16="http://schemas.microsoft.com/office/drawing/2014/main" id="{0C5050FE-A1EC-4E82-9D79-401B7FD3D2D9}"/>
            </a:ext>
          </a:extLst>
        </xdr:cNvPr>
        <xdr:cNvSpPr/>
      </xdr:nvSpPr>
      <xdr:spPr>
        <a:xfrm>
          <a:off x="2439583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21</xdr:row>
      <xdr:rowOff>100700</xdr:rowOff>
    </xdr:from>
    <xdr:ext cx="0" cy="27940"/>
    <xdr:sp macro="" textlink="">
      <xdr:nvSpPr>
        <xdr:cNvPr id="187" name="Shape 187">
          <a:extLst>
            <a:ext uri="{FF2B5EF4-FFF2-40B4-BE49-F238E27FC236}">
              <a16:creationId xmlns:a16="http://schemas.microsoft.com/office/drawing/2014/main" id="{AA24098D-40AB-4993-A53A-FBDE3365E01C}"/>
            </a:ext>
          </a:extLst>
        </xdr:cNvPr>
        <xdr:cNvSpPr/>
      </xdr:nvSpPr>
      <xdr:spPr>
        <a:xfrm>
          <a:off x="358341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21</xdr:row>
      <xdr:rowOff>100700</xdr:rowOff>
    </xdr:from>
    <xdr:ext cx="0" cy="27940"/>
    <xdr:sp macro="" textlink="">
      <xdr:nvSpPr>
        <xdr:cNvPr id="188" name="Shape 188">
          <a:extLst>
            <a:ext uri="{FF2B5EF4-FFF2-40B4-BE49-F238E27FC236}">
              <a16:creationId xmlns:a16="http://schemas.microsoft.com/office/drawing/2014/main" id="{388E853C-5B81-4479-B3BB-9F1C50595D29}"/>
            </a:ext>
          </a:extLst>
        </xdr:cNvPr>
        <xdr:cNvSpPr/>
      </xdr:nvSpPr>
      <xdr:spPr>
        <a:xfrm>
          <a:off x="4352461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23</xdr:row>
      <xdr:rowOff>100877</xdr:rowOff>
    </xdr:from>
    <xdr:ext cx="0" cy="27940"/>
    <xdr:sp macro="" textlink="">
      <xdr:nvSpPr>
        <xdr:cNvPr id="189" name="Shape 189">
          <a:extLst>
            <a:ext uri="{FF2B5EF4-FFF2-40B4-BE49-F238E27FC236}">
              <a16:creationId xmlns:a16="http://schemas.microsoft.com/office/drawing/2014/main" id="{8F85FB55-4AD4-489A-80E1-F4C65B14CEDD}"/>
            </a:ext>
          </a:extLst>
        </xdr:cNvPr>
        <xdr:cNvSpPr/>
      </xdr:nvSpPr>
      <xdr:spPr>
        <a:xfrm>
          <a:off x="205809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23</xdr:row>
      <xdr:rowOff>100877</xdr:rowOff>
    </xdr:from>
    <xdr:ext cx="0" cy="27940"/>
    <xdr:sp macro="" textlink="">
      <xdr:nvSpPr>
        <xdr:cNvPr id="190" name="Shape 190">
          <a:extLst>
            <a:ext uri="{FF2B5EF4-FFF2-40B4-BE49-F238E27FC236}">
              <a16:creationId xmlns:a16="http://schemas.microsoft.com/office/drawing/2014/main" id="{598D0731-390D-41AB-BC24-3B8776432911}"/>
            </a:ext>
          </a:extLst>
        </xdr:cNvPr>
        <xdr:cNvSpPr/>
      </xdr:nvSpPr>
      <xdr:spPr>
        <a:xfrm>
          <a:off x="320984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23</xdr:row>
      <xdr:rowOff>100877</xdr:rowOff>
    </xdr:from>
    <xdr:ext cx="0" cy="27940"/>
    <xdr:sp macro="" textlink="">
      <xdr:nvSpPr>
        <xdr:cNvPr id="191" name="Shape 191">
          <a:extLst>
            <a:ext uri="{FF2B5EF4-FFF2-40B4-BE49-F238E27FC236}">
              <a16:creationId xmlns:a16="http://schemas.microsoft.com/office/drawing/2014/main" id="{2D8C2B92-6164-42F8-B621-BA21FDE70CFD}"/>
            </a:ext>
          </a:extLst>
        </xdr:cNvPr>
        <xdr:cNvSpPr/>
      </xdr:nvSpPr>
      <xdr:spPr>
        <a:xfrm>
          <a:off x="473262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23</xdr:row>
      <xdr:rowOff>100877</xdr:rowOff>
    </xdr:from>
    <xdr:ext cx="0" cy="27940"/>
    <xdr:sp macro="" textlink="">
      <xdr:nvSpPr>
        <xdr:cNvPr id="192" name="Shape 192">
          <a:extLst>
            <a:ext uri="{FF2B5EF4-FFF2-40B4-BE49-F238E27FC236}">
              <a16:creationId xmlns:a16="http://schemas.microsoft.com/office/drawing/2014/main" id="{960884F3-EA75-402B-895D-47FEAFAC9653}"/>
            </a:ext>
          </a:extLst>
        </xdr:cNvPr>
        <xdr:cNvSpPr/>
      </xdr:nvSpPr>
      <xdr:spPr>
        <a:xfrm>
          <a:off x="1667078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23</xdr:row>
      <xdr:rowOff>100877</xdr:rowOff>
    </xdr:from>
    <xdr:ext cx="0" cy="27940"/>
    <xdr:sp macro="" textlink="">
      <xdr:nvSpPr>
        <xdr:cNvPr id="193" name="Shape 193">
          <a:extLst>
            <a:ext uri="{FF2B5EF4-FFF2-40B4-BE49-F238E27FC236}">
              <a16:creationId xmlns:a16="http://schemas.microsoft.com/office/drawing/2014/main" id="{F82B6AA1-2D48-4BCA-BDFD-5D0A70959C74}"/>
            </a:ext>
          </a:extLst>
        </xdr:cNvPr>
        <xdr:cNvSpPr/>
      </xdr:nvSpPr>
      <xdr:spPr>
        <a:xfrm>
          <a:off x="282077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23</xdr:row>
      <xdr:rowOff>100877</xdr:rowOff>
    </xdr:from>
    <xdr:ext cx="0" cy="27940"/>
    <xdr:sp macro="" textlink="">
      <xdr:nvSpPr>
        <xdr:cNvPr id="194" name="Shape 194">
          <a:extLst>
            <a:ext uri="{FF2B5EF4-FFF2-40B4-BE49-F238E27FC236}">
              <a16:creationId xmlns:a16="http://schemas.microsoft.com/office/drawing/2014/main" id="{3F2E8975-F8D4-4D38-816B-7D4E8AC61D63}"/>
            </a:ext>
          </a:extLst>
        </xdr:cNvPr>
        <xdr:cNvSpPr/>
      </xdr:nvSpPr>
      <xdr:spPr>
        <a:xfrm>
          <a:off x="390142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23</xdr:row>
      <xdr:rowOff>100877</xdr:rowOff>
    </xdr:from>
    <xdr:ext cx="0" cy="27940"/>
    <xdr:sp macro="" textlink="">
      <xdr:nvSpPr>
        <xdr:cNvPr id="195" name="Shape 195">
          <a:extLst>
            <a:ext uri="{FF2B5EF4-FFF2-40B4-BE49-F238E27FC236}">
              <a16:creationId xmlns:a16="http://schemas.microsoft.com/office/drawing/2014/main" id="{95C04A67-6033-401A-B0A0-FBD22EB44F92}"/>
            </a:ext>
          </a:extLst>
        </xdr:cNvPr>
        <xdr:cNvSpPr/>
      </xdr:nvSpPr>
      <xdr:spPr>
        <a:xfrm>
          <a:off x="512231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23</xdr:row>
      <xdr:rowOff>100877</xdr:rowOff>
    </xdr:from>
    <xdr:ext cx="0" cy="27940"/>
    <xdr:sp macro="" textlink="">
      <xdr:nvSpPr>
        <xdr:cNvPr id="196" name="Shape 196">
          <a:extLst>
            <a:ext uri="{FF2B5EF4-FFF2-40B4-BE49-F238E27FC236}">
              <a16:creationId xmlns:a16="http://schemas.microsoft.com/office/drawing/2014/main" id="{86D5AA5C-14C5-4922-9072-D2951FD984E2}"/>
            </a:ext>
          </a:extLst>
        </xdr:cNvPr>
        <xdr:cNvSpPr/>
      </xdr:nvSpPr>
      <xdr:spPr>
        <a:xfrm>
          <a:off x="1285875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23</xdr:row>
      <xdr:rowOff>100877</xdr:rowOff>
    </xdr:from>
    <xdr:ext cx="0" cy="27940"/>
    <xdr:sp macro="" textlink="">
      <xdr:nvSpPr>
        <xdr:cNvPr id="197" name="Shape 197">
          <a:extLst>
            <a:ext uri="{FF2B5EF4-FFF2-40B4-BE49-F238E27FC236}">
              <a16:creationId xmlns:a16="http://schemas.microsoft.com/office/drawing/2014/main" id="{0B44C823-E182-4100-9FCE-3BF5F8439565}"/>
            </a:ext>
          </a:extLst>
        </xdr:cNvPr>
        <xdr:cNvSpPr/>
      </xdr:nvSpPr>
      <xdr:spPr>
        <a:xfrm>
          <a:off x="2439583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23</xdr:row>
      <xdr:rowOff>100877</xdr:rowOff>
    </xdr:from>
    <xdr:ext cx="0" cy="27940"/>
    <xdr:sp macro="" textlink="">
      <xdr:nvSpPr>
        <xdr:cNvPr id="198" name="Shape 198">
          <a:extLst>
            <a:ext uri="{FF2B5EF4-FFF2-40B4-BE49-F238E27FC236}">
              <a16:creationId xmlns:a16="http://schemas.microsoft.com/office/drawing/2014/main" id="{F0B902E6-7712-45BE-B373-D0F0D6D69DF5}"/>
            </a:ext>
          </a:extLst>
        </xdr:cNvPr>
        <xdr:cNvSpPr/>
      </xdr:nvSpPr>
      <xdr:spPr>
        <a:xfrm>
          <a:off x="358341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23</xdr:row>
      <xdr:rowOff>100877</xdr:rowOff>
    </xdr:from>
    <xdr:ext cx="0" cy="27940"/>
    <xdr:sp macro="" textlink="">
      <xdr:nvSpPr>
        <xdr:cNvPr id="199" name="Shape 199">
          <a:extLst>
            <a:ext uri="{FF2B5EF4-FFF2-40B4-BE49-F238E27FC236}">
              <a16:creationId xmlns:a16="http://schemas.microsoft.com/office/drawing/2014/main" id="{0BA90620-84A4-44B3-B4BB-4C1864BCF51E}"/>
            </a:ext>
          </a:extLst>
        </xdr:cNvPr>
        <xdr:cNvSpPr/>
      </xdr:nvSpPr>
      <xdr:spPr>
        <a:xfrm>
          <a:off x="4352461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22</xdr:row>
      <xdr:rowOff>100787</xdr:rowOff>
    </xdr:from>
    <xdr:ext cx="0" cy="27940"/>
    <xdr:sp macro="" textlink="">
      <xdr:nvSpPr>
        <xdr:cNvPr id="200" name="Shape 200">
          <a:extLst>
            <a:ext uri="{FF2B5EF4-FFF2-40B4-BE49-F238E27FC236}">
              <a16:creationId xmlns:a16="http://schemas.microsoft.com/office/drawing/2014/main" id="{D281F316-56AD-45C1-90AE-4CD0B311D274}"/>
            </a:ext>
          </a:extLst>
        </xdr:cNvPr>
        <xdr:cNvSpPr/>
      </xdr:nvSpPr>
      <xdr:spPr>
        <a:xfrm>
          <a:off x="205809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22</xdr:row>
      <xdr:rowOff>100787</xdr:rowOff>
    </xdr:from>
    <xdr:ext cx="0" cy="27940"/>
    <xdr:sp macro="" textlink="">
      <xdr:nvSpPr>
        <xdr:cNvPr id="201" name="Shape 201">
          <a:extLst>
            <a:ext uri="{FF2B5EF4-FFF2-40B4-BE49-F238E27FC236}">
              <a16:creationId xmlns:a16="http://schemas.microsoft.com/office/drawing/2014/main" id="{1F9058EF-D3E8-4474-A1EB-62D698BF934E}"/>
            </a:ext>
          </a:extLst>
        </xdr:cNvPr>
        <xdr:cNvSpPr/>
      </xdr:nvSpPr>
      <xdr:spPr>
        <a:xfrm>
          <a:off x="320984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22</xdr:row>
      <xdr:rowOff>100787</xdr:rowOff>
    </xdr:from>
    <xdr:ext cx="0" cy="27940"/>
    <xdr:sp macro="" textlink="">
      <xdr:nvSpPr>
        <xdr:cNvPr id="202" name="Shape 202">
          <a:extLst>
            <a:ext uri="{FF2B5EF4-FFF2-40B4-BE49-F238E27FC236}">
              <a16:creationId xmlns:a16="http://schemas.microsoft.com/office/drawing/2014/main" id="{605E9E84-1B9C-4D60-92DE-8EC6E138D506}"/>
            </a:ext>
          </a:extLst>
        </xdr:cNvPr>
        <xdr:cNvSpPr/>
      </xdr:nvSpPr>
      <xdr:spPr>
        <a:xfrm>
          <a:off x="473262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22</xdr:row>
      <xdr:rowOff>100787</xdr:rowOff>
    </xdr:from>
    <xdr:ext cx="0" cy="27940"/>
    <xdr:sp macro="" textlink="">
      <xdr:nvSpPr>
        <xdr:cNvPr id="203" name="Shape 203">
          <a:extLst>
            <a:ext uri="{FF2B5EF4-FFF2-40B4-BE49-F238E27FC236}">
              <a16:creationId xmlns:a16="http://schemas.microsoft.com/office/drawing/2014/main" id="{2A7A6399-5FC6-4119-AC19-D4D5F274F298}"/>
            </a:ext>
          </a:extLst>
        </xdr:cNvPr>
        <xdr:cNvSpPr/>
      </xdr:nvSpPr>
      <xdr:spPr>
        <a:xfrm>
          <a:off x="1667078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22</xdr:row>
      <xdr:rowOff>100787</xdr:rowOff>
    </xdr:from>
    <xdr:ext cx="0" cy="27940"/>
    <xdr:sp macro="" textlink="">
      <xdr:nvSpPr>
        <xdr:cNvPr id="204" name="Shape 204">
          <a:extLst>
            <a:ext uri="{FF2B5EF4-FFF2-40B4-BE49-F238E27FC236}">
              <a16:creationId xmlns:a16="http://schemas.microsoft.com/office/drawing/2014/main" id="{228E04EC-7C04-4BD1-AB90-62D932F17C98}"/>
            </a:ext>
          </a:extLst>
        </xdr:cNvPr>
        <xdr:cNvSpPr/>
      </xdr:nvSpPr>
      <xdr:spPr>
        <a:xfrm>
          <a:off x="282077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22</xdr:row>
      <xdr:rowOff>100787</xdr:rowOff>
    </xdr:from>
    <xdr:ext cx="0" cy="27940"/>
    <xdr:sp macro="" textlink="">
      <xdr:nvSpPr>
        <xdr:cNvPr id="205" name="Shape 205">
          <a:extLst>
            <a:ext uri="{FF2B5EF4-FFF2-40B4-BE49-F238E27FC236}">
              <a16:creationId xmlns:a16="http://schemas.microsoft.com/office/drawing/2014/main" id="{218A97AB-7489-44CF-9C13-E978DAB8672D}"/>
            </a:ext>
          </a:extLst>
        </xdr:cNvPr>
        <xdr:cNvSpPr/>
      </xdr:nvSpPr>
      <xdr:spPr>
        <a:xfrm>
          <a:off x="390142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22</xdr:row>
      <xdr:rowOff>100787</xdr:rowOff>
    </xdr:from>
    <xdr:ext cx="0" cy="27940"/>
    <xdr:sp macro="" textlink="">
      <xdr:nvSpPr>
        <xdr:cNvPr id="206" name="Shape 206">
          <a:extLst>
            <a:ext uri="{FF2B5EF4-FFF2-40B4-BE49-F238E27FC236}">
              <a16:creationId xmlns:a16="http://schemas.microsoft.com/office/drawing/2014/main" id="{3FA06D36-D1C6-46BB-A2B1-20C20AB0CB9B}"/>
            </a:ext>
          </a:extLst>
        </xdr:cNvPr>
        <xdr:cNvSpPr/>
      </xdr:nvSpPr>
      <xdr:spPr>
        <a:xfrm>
          <a:off x="512231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22</xdr:row>
      <xdr:rowOff>100787</xdr:rowOff>
    </xdr:from>
    <xdr:ext cx="0" cy="27940"/>
    <xdr:sp macro="" textlink="">
      <xdr:nvSpPr>
        <xdr:cNvPr id="207" name="Shape 207">
          <a:extLst>
            <a:ext uri="{FF2B5EF4-FFF2-40B4-BE49-F238E27FC236}">
              <a16:creationId xmlns:a16="http://schemas.microsoft.com/office/drawing/2014/main" id="{6950FC37-6D7D-4998-A8D7-C74EDFB6AAC3}"/>
            </a:ext>
          </a:extLst>
        </xdr:cNvPr>
        <xdr:cNvSpPr/>
      </xdr:nvSpPr>
      <xdr:spPr>
        <a:xfrm>
          <a:off x="1285875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22</xdr:row>
      <xdr:rowOff>100787</xdr:rowOff>
    </xdr:from>
    <xdr:ext cx="0" cy="27940"/>
    <xdr:sp macro="" textlink="">
      <xdr:nvSpPr>
        <xdr:cNvPr id="208" name="Shape 208">
          <a:extLst>
            <a:ext uri="{FF2B5EF4-FFF2-40B4-BE49-F238E27FC236}">
              <a16:creationId xmlns:a16="http://schemas.microsoft.com/office/drawing/2014/main" id="{6549F5FD-5B12-4855-8BAC-F0F242B8A962}"/>
            </a:ext>
          </a:extLst>
        </xdr:cNvPr>
        <xdr:cNvSpPr/>
      </xdr:nvSpPr>
      <xdr:spPr>
        <a:xfrm>
          <a:off x="2439583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22</xdr:row>
      <xdr:rowOff>100787</xdr:rowOff>
    </xdr:from>
    <xdr:ext cx="0" cy="27940"/>
    <xdr:sp macro="" textlink="">
      <xdr:nvSpPr>
        <xdr:cNvPr id="209" name="Shape 209">
          <a:extLst>
            <a:ext uri="{FF2B5EF4-FFF2-40B4-BE49-F238E27FC236}">
              <a16:creationId xmlns:a16="http://schemas.microsoft.com/office/drawing/2014/main" id="{EB59932D-07F6-4950-AF2D-AEF3723C5D6E}"/>
            </a:ext>
          </a:extLst>
        </xdr:cNvPr>
        <xdr:cNvSpPr/>
      </xdr:nvSpPr>
      <xdr:spPr>
        <a:xfrm>
          <a:off x="358341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22</xdr:row>
      <xdr:rowOff>100787</xdr:rowOff>
    </xdr:from>
    <xdr:ext cx="0" cy="27940"/>
    <xdr:sp macro="" textlink="">
      <xdr:nvSpPr>
        <xdr:cNvPr id="210" name="Shape 210">
          <a:extLst>
            <a:ext uri="{FF2B5EF4-FFF2-40B4-BE49-F238E27FC236}">
              <a16:creationId xmlns:a16="http://schemas.microsoft.com/office/drawing/2014/main" id="{FD1E795C-B93F-4990-9777-3603606E5F21}"/>
            </a:ext>
          </a:extLst>
        </xdr:cNvPr>
        <xdr:cNvSpPr/>
      </xdr:nvSpPr>
      <xdr:spPr>
        <a:xfrm>
          <a:off x="4352461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20</xdr:row>
      <xdr:rowOff>82895</xdr:rowOff>
    </xdr:from>
    <xdr:ext cx="0" cy="27940"/>
    <xdr:sp macro="" textlink="">
      <xdr:nvSpPr>
        <xdr:cNvPr id="211" name="Shape 211">
          <a:extLst>
            <a:ext uri="{FF2B5EF4-FFF2-40B4-BE49-F238E27FC236}">
              <a16:creationId xmlns:a16="http://schemas.microsoft.com/office/drawing/2014/main" id="{D9882A09-E786-4F94-99A9-E39DD7393607}"/>
            </a:ext>
          </a:extLst>
        </xdr:cNvPr>
        <xdr:cNvSpPr/>
      </xdr:nvSpPr>
      <xdr:spPr>
        <a:xfrm>
          <a:off x="205809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20</xdr:row>
      <xdr:rowOff>82895</xdr:rowOff>
    </xdr:from>
    <xdr:ext cx="0" cy="27940"/>
    <xdr:sp macro="" textlink="">
      <xdr:nvSpPr>
        <xdr:cNvPr id="212" name="Shape 212">
          <a:extLst>
            <a:ext uri="{FF2B5EF4-FFF2-40B4-BE49-F238E27FC236}">
              <a16:creationId xmlns:a16="http://schemas.microsoft.com/office/drawing/2014/main" id="{3F2FC5AB-AE5C-42B5-957F-9951A324C0EB}"/>
            </a:ext>
          </a:extLst>
        </xdr:cNvPr>
        <xdr:cNvSpPr/>
      </xdr:nvSpPr>
      <xdr:spPr>
        <a:xfrm>
          <a:off x="320984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20</xdr:row>
      <xdr:rowOff>82895</xdr:rowOff>
    </xdr:from>
    <xdr:ext cx="0" cy="27940"/>
    <xdr:sp macro="" textlink="">
      <xdr:nvSpPr>
        <xdr:cNvPr id="213" name="Shape 213">
          <a:extLst>
            <a:ext uri="{FF2B5EF4-FFF2-40B4-BE49-F238E27FC236}">
              <a16:creationId xmlns:a16="http://schemas.microsoft.com/office/drawing/2014/main" id="{3489F2C4-B481-45CE-9768-3CA1AD5BABDC}"/>
            </a:ext>
          </a:extLst>
        </xdr:cNvPr>
        <xdr:cNvSpPr/>
      </xdr:nvSpPr>
      <xdr:spPr>
        <a:xfrm>
          <a:off x="473262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20</xdr:row>
      <xdr:rowOff>82895</xdr:rowOff>
    </xdr:from>
    <xdr:ext cx="0" cy="27940"/>
    <xdr:sp macro="" textlink="">
      <xdr:nvSpPr>
        <xdr:cNvPr id="214" name="Shape 214">
          <a:extLst>
            <a:ext uri="{FF2B5EF4-FFF2-40B4-BE49-F238E27FC236}">
              <a16:creationId xmlns:a16="http://schemas.microsoft.com/office/drawing/2014/main" id="{8A995979-E140-4663-9CBB-02C0A5AE4643}"/>
            </a:ext>
          </a:extLst>
        </xdr:cNvPr>
        <xdr:cNvSpPr/>
      </xdr:nvSpPr>
      <xdr:spPr>
        <a:xfrm>
          <a:off x="1667078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20</xdr:row>
      <xdr:rowOff>82895</xdr:rowOff>
    </xdr:from>
    <xdr:ext cx="0" cy="27940"/>
    <xdr:sp macro="" textlink="">
      <xdr:nvSpPr>
        <xdr:cNvPr id="215" name="Shape 215">
          <a:extLst>
            <a:ext uri="{FF2B5EF4-FFF2-40B4-BE49-F238E27FC236}">
              <a16:creationId xmlns:a16="http://schemas.microsoft.com/office/drawing/2014/main" id="{BB34B62B-3B43-49BB-B6CC-65D1EF9453F4}"/>
            </a:ext>
          </a:extLst>
        </xdr:cNvPr>
        <xdr:cNvSpPr/>
      </xdr:nvSpPr>
      <xdr:spPr>
        <a:xfrm>
          <a:off x="282077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20</xdr:row>
      <xdr:rowOff>82895</xdr:rowOff>
    </xdr:from>
    <xdr:ext cx="0" cy="27940"/>
    <xdr:sp macro="" textlink="">
      <xdr:nvSpPr>
        <xdr:cNvPr id="216" name="Shape 216">
          <a:extLst>
            <a:ext uri="{FF2B5EF4-FFF2-40B4-BE49-F238E27FC236}">
              <a16:creationId xmlns:a16="http://schemas.microsoft.com/office/drawing/2014/main" id="{88C4CC42-9E63-45DF-A19A-A0A255274BFB}"/>
            </a:ext>
          </a:extLst>
        </xdr:cNvPr>
        <xdr:cNvSpPr/>
      </xdr:nvSpPr>
      <xdr:spPr>
        <a:xfrm>
          <a:off x="390142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20</xdr:row>
      <xdr:rowOff>82895</xdr:rowOff>
    </xdr:from>
    <xdr:ext cx="0" cy="27940"/>
    <xdr:sp macro="" textlink="">
      <xdr:nvSpPr>
        <xdr:cNvPr id="217" name="Shape 217">
          <a:extLst>
            <a:ext uri="{FF2B5EF4-FFF2-40B4-BE49-F238E27FC236}">
              <a16:creationId xmlns:a16="http://schemas.microsoft.com/office/drawing/2014/main" id="{E2E2E912-5A06-4297-83B0-1E1443662D88}"/>
            </a:ext>
          </a:extLst>
        </xdr:cNvPr>
        <xdr:cNvSpPr/>
      </xdr:nvSpPr>
      <xdr:spPr>
        <a:xfrm>
          <a:off x="512231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20</xdr:row>
      <xdr:rowOff>82895</xdr:rowOff>
    </xdr:from>
    <xdr:ext cx="0" cy="27940"/>
    <xdr:sp macro="" textlink="">
      <xdr:nvSpPr>
        <xdr:cNvPr id="218" name="Shape 218">
          <a:extLst>
            <a:ext uri="{FF2B5EF4-FFF2-40B4-BE49-F238E27FC236}">
              <a16:creationId xmlns:a16="http://schemas.microsoft.com/office/drawing/2014/main" id="{29E0237D-2571-4EE0-B7DB-D30EC1516D4A}"/>
            </a:ext>
          </a:extLst>
        </xdr:cNvPr>
        <xdr:cNvSpPr/>
      </xdr:nvSpPr>
      <xdr:spPr>
        <a:xfrm>
          <a:off x="1285875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20</xdr:row>
      <xdr:rowOff>82895</xdr:rowOff>
    </xdr:from>
    <xdr:ext cx="0" cy="27940"/>
    <xdr:sp macro="" textlink="">
      <xdr:nvSpPr>
        <xdr:cNvPr id="219" name="Shape 219">
          <a:extLst>
            <a:ext uri="{FF2B5EF4-FFF2-40B4-BE49-F238E27FC236}">
              <a16:creationId xmlns:a16="http://schemas.microsoft.com/office/drawing/2014/main" id="{CD0207A3-492B-4AE9-B45F-EF56D878B984}"/>
            </a:ext>
          </a:extLst>
        </xdr:cNvPr>
        <xdr:cNvSpPr/>
      </xdr:nvSpPr>
      <xdr:spPr>
        <a:xfrm>
          <a:off x="2439583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20</xdr:row>
      <xdr:rowOff>82895</xdr:rowOff>
    </xdr:from>
    <xdr:ext cx="0" cy="27940"/>
    <xdr:sp macro="" textlink="">
      <xdr:nvSpPr>
        <xdr:cNvPr id="220" name="Shape 220">
          <a:extLst>
            <a:ext uri="{FF2B5EF4-FFF2-40B4-BE49-F238E27FC236}">
              <a16:creationId xmlns:a16="http://schemas.microsoft.com/office/drawing/2014/main" id="{500D292A-16BB-46FB-A5AF-819365723941}"/>
            </a:ext>
          </a:extLst>
        </xdr:cNvPr>
        <xdr:cNvSpPr/>
      </xdr:nvSpPr>
      <xdr:spPr>
        <a:xfrm>
          <a:off x="358341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20</xdr:row>
      <xdr:rowOff>82895</xdr:rowOff>
    </xdr:from>
    <xdr:ext cx="0" cy="27940"/>
    <xdr:sp macro="" textlink="">
      <xdr:nvSpPr>
        <xdr:cNvPr id="221" name="Shape 221">
          <a:extLst>
            <a:ext uri="{FF2B5EF4-FFF2-40B4-BE49-F238E27FC236}">
              <a16:creationId xmlns:a16="http://schemas.microsoft.com/office/drawing/2014/main" id="{E990FDAA-1737-4C0C-9B30-EBAADDA266EC}"/>
            </a:ext>
          </a:extLst>
        </xdr:cNvPr>
        <xdr:cNvSpPr/>
      </xdr:nvSpPr>
      <xdr:spPr>
        <a:xfrm>
          <a:off x="4352461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25</xdr:row>
      <xdr:rowOff>101053</xdr:rowOff>
    </xdr:from>
    <xdr:ext cx="0" cy="27940"/>
    <xdr:sp macro="" textlink="">
      <xdr:nvSpPr>
        <xdr:cNvPr id="222" name="Shape 222">
          <a:extLst>
            <a:ext uri="{FF2B5EF4-FFF2-40B4-BE49-F238E27FC236}">
              <a16:creationId xmlns:a16="http://schemas.microsoft.com/office/drawing/2014/main" id="{85E789AC-5696-44DA-8319-E048E6D13508}"/>
            </a:ext>
          </a:extLst>
        </xdr:cNvPr>
        <xdr:cNvSpPr/>
      </xdr:nvSpPr>
      <xdr:spPr>
        <a:xfrm>
          <a:off x="205809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25</xdr:row>
      <xdr:rowOff>101053</xdr:rowOff>
    </xdr:from>
    <xdr:ext cx="0" cy="27940"/>
    <xdr:sp macro="" textlink="">
      <xdr:nvSpPr>
        <xdr:cNvPr id="223" name="Shape 223">
          <a:extLst>
            <a:ext uri="{FF2B5EF4-FFF2-40B4-BE49-F238E27FC236}">
              <a16:creationId xmlns:a16="http://schemas.microsoft.com/office/drawing/2014/main" id="{ED3BDE2F-FFEE-4A4F-9AC0-6D750F06B6D8}"/>
            </a:ext>
          </a:extLst>
        </xdr:cNvPr>
        <xdr:cNvSpPr/>
      </xdr:nvSpPr>
      <xdr:spPr>
        <a:xfrm>
          <a:off x="320984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25</xdr:row>
      <xdr:rowOff>101053</xdr:rowOff>
    </xdr:from>
    <xdr:ext cx="0" cy="27940"/>
    <xdr:sp macro="" textlink="">
      <xdr:nvSpPr>
        <xdr:cNvPr id="224" name="Shape 224">
          <a:extLst>
            <a:ext uri="{FF2B5EF4-FFF2-40B4-BE49-F238E27FC236}">
              <a16:creationId xmlns:a16="http://schemas.microsoft.com/office/drawing/2014/main" id="{5084C36D-FE3F-4A08-A4B7-12DB66256902}"/>
            </a:ext>
          </a:extLst>
        </xdr:cNvPr>
        <xdr:cNvSpPr/>
      </xdr:nvSpPr>
      <xdr:spPr>
        <a:xfrm>
          <a:off x="473262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25</xdr:row>
      <xdr:rowOff>101053</xdr:rowOff>
    </xdr:from>
    <xdr:ext cx="0" cy="27940"/>
    <xdr:sp macro="" textlink="">
      <xdr:nvSpPr>
        <xdr:cNvPr id="225" name="Shape 225">
          <a:extLst>
            <a:ext uri="{FF2B5EF4-FFF2-40B4-BE49-F238E27FC236}">
              <a16:creationId xmlns:a16="http://schemas.microsoft.com/office/drawing/2014/main" id="{F2A8069B-12AC-46D7-9A17-AEB766B6D761}"/>
            </a:ext>
          </a:extLst>
        </xdr:cNvPr>
        <xdr:cNvSpPr/>
      </xdr:nvSpPr>
      <xdr:spPr>
        <a:xfrm>
          <a:off x="1667078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25</xdr:row>
      <xdr:rowOff>101053</xdr:rowOff>
    </xdr:from>
    <xdr:ext cx="0" cy="27940"/>
    <xdr:sp macro="" textlink="">
      <xdr:nvSpPr>
        <xdr:cNvPr id="226" name="Shape 226">
          <a:extLst>
            <a:ext uri="{FF2B5EF4-FFF2-40B4-BE49-F238E27FC236}">
              <a16:creationId xmlns:a16="http://schemas.microsoft.com/office/drawing/2014/main" id="{7DC23B13-6A00-49B9-A3F5-DCFCED0EF8F0}"/>
            </a:ext>
          </a:extLst>
        </xdr:cNvPr>
        <xdr:cNvSpPr/>
      </xdr:nvSpPr>
      <xdr:spPr>
        <a:xfrm>
          <a:off x="282077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25</xdr:row>
      <xdr:rowOff>101053</xdr:rowOff>
    </xdr:from>
    <xdr:ext cx="0" cy="27940"/>
    <xdr:sp macro="" textlink="">
      <xdr:nvSpPr>
        <xdr:cNvPr id="227" name="Shape 227">
          <a:extLst>
            <a:ext uri="{FF2B5EF4-FFF2-40B4-BE49-F238E27FC236}">
              <a16:creationId xmlns:a16="http://schemas.microsoft.com/office/drawing/2014/main" id="{A59869E5-057E-4896-964E-BCAD88527954}"/>
            </a:ext>
          </a:extLst>
        </xdr:cNvPr>
        <xdr:cNvSpPr/>
      </xdr:nvSpPr>
      <xdr:spPr>
        <a:xfrm>
          <a:off x="390142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25</xdr:row>
      <xdr:rowOff>101053</xdr:rowOff>
    </xdr:from>
    <xdr:ext cx="0" cy="27940"/>
    <xdr:sp macro="" textlink="">
      <xdr:nvSpPr>
        <xdr:cNvPr id="228" name="Shape 228">
          <a:extLst>
            <a:ext uri="{FF2B5EF4-FFF2-40B4-BE49-F238E27FC236}">
              <a16:creationId xmlns:a16="http://schemas.microsoft.com/office/drawing/2014/main" id="{78F9A625-FD24-4C2C-88A9-09FD605471C8}"/>
            </a:ext>
          </a:extLst>
        </xdr:cNvPr>
        <xdr:cNvSpPr/>
      </xdr:nvSpPr>
      <xdr:spPr>
        <a:xfrm>
          <a:off x="512231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25</xdr:row>
      <xdr:rowOff>101053</xdr:rowOff>
    </xdr:from>
    <xdr:ext cx="0" cy="27940"/>
    <xdr:sp macro="" textlink="">
      <xdr:nvSpPr>
        <xdr:cNvPr id="229" name="Shape 229">
          <a:extLst>
            <a:ext uri="{FF2B5EF4-FFF2-40B4-BE49-F238E27FC236}">
              <a16:creationId xmlns:a16="http://schemas.microsoft.com/office/drawing/2014/main" id="{43785C22-8C8E-44C3-BFD6-A387B0C76453}"/>
            </a:ext>
          </a:extLst>
        </xdr:cNvPr>
        <xdr:cNvSpPr/>
      </xdr:nvSpPr>
      <xdr:spPr>
        <a:xfrm>
          <a:off x="374959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25</xdr:row>
      <xdr:rowOff>101053</xdr:rowOff>
    </xdr:from>
    <xdr:ext cx="0" cy="27940"/>
    <xdr:sp macro="" textlink="">
      <xdr:nvSpPr>
        <xdr:cNvPr id="230" name="Shape 230">
          <a:extLst>
            <a:ext uri="{FF2B5EF4-FFF2-40B4-BE49-F238E27FC236}">
              <a16:creationId xmlns:a16="http://schemas.microsoft.com/office/drawing/2014/main" id="{EE653929-543C-4AA8-9D8C-E9545E0F9008}"/>
            </a:ext>
          </a:extLst>
        </xdr:cNvPr>
        <xdr:cNvSpPr/>
      </xdr:nvSpPr>
      <xdr:spPr>
        <a:xfrm>
          <a:off x="2439583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25</xdr:row>
      <xdr:rowOff>101053</xdr:rowOff>
    </xdr:from>
    <xdr:ext cx="0" cy="27940"/>
    <xdr:sp macro="" textlink="">
      <xdr:nvSpPr>
        <xdr:cNvPr id="231" name="Shape 231">
          <a:extLst>
            <a:ext uri="{FF2B5EF4-FFF2-40B4-BE49-F238E27FC236}">
              <a16:creationId xmlns:a16="http://schemas.microsoft.com/office/drawing/2014/main" id="{4E1E8B1E-229B-461F-8F71-C2BB5487422D}"/>
            </a:ext>
          </a:extLst>
        </xdr:cNvPr>
        <xdr:cNvSpPr/>
      </xdr:nvSpPr>
      <xdr:spPr>
        <a:xfrm>
          <a:off x="358341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25</xdr:row>
      <xdr:rowOff>101053</xdr:rowOff>
    </xdr:from>
    <xdr:ext cx="0" cy="27940"/>
    <xdr:sp macro="" textlink="">
      <xdr:nvSpPr>
        <xdr:cNvPr id="232" name="Shape 232">
          <a:extLst>
            <a:ext uri="{FF2B5EF4-FFF2-40B4-BE49-F238E27FC236}">
              <a16:creationId xmlns:a16="http://schemas.microsoft.com/office/drawing/2014/main" id="{FF1442F7-F416-4D93-B892-4067F221CC71}"/>
            </a:ext>
          </a:extLst>
        </xdr:cNvPr>
        <xdr:cNvSpPr/>
      </xdr:nvSpPr>
      <xdr:spPr>
        <a:xfrm>
          <a:off x="4352461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26</xdr:row>
      <xdr:rowOff>101144</xdr:rowOff>
    </xdr:from>
    <xdr:ext cx="0" cy="27940"/>
    <xdr:sp macro="" textlink="">
      <xdr:nvSpPr>
        <xdr:cNvPr id="233" name="Shape 233">
          <a:extLst>
            <a:ext uri="{FF2B5EF4-FFF2-40B4-BE49-F238E27FC236}">
              <a16:creationId xmlns:a16="http://schemas.microsoft.com/office/drawing/2014/main" id="{28BDB59E-61D0-4CCF-A869-884DF3C4F9BE}"/>
            </a:ext>
          </a:extLst>
        </xdr:cNvPr>
        <xdr:cNvSpPr/>
      </xdr:nvSpPr>
      <xdr:spPr>
        <a:xfrm>
          <a:off x="205809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26</xdr:row>
      <xdr:rowOff>101144</xdr:rowOff>
    </xdr:from>
    <xdr:ext cx="0" cy="27940"/>
    <xdr:sp macro="" textlink="">
      <xdr:nvSpPr>
        <xdr:cNvPr id="234" name="Shape 234">
          <a:extLst>
            <a:ext uri="{FF2B5EF4-FFF2-40B4-BE49-F238E27FC236}">
              <a16:creationId xmlns:a16="http://schemas.microsoft.com/office/drawing/2014/main" id="{036EBF50-92FC-482E-96AF-90EE75C2896B}"/>
            </a:ext>
          </a:extLst>
        </xdr:cNvPr>
        <xdr:cNvSpPr/>
      </xdr:nvSpPr>
      <xdr:spPr>
        <a:xfrm>
          <a:off x="320984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26</xdr:row>
      <xdr:rowOff>101144</xdr:rowOff>
    </xdr:from>
    <xdr:ext cx="0" cy="27940"/>
    <xdr:sp macro="" textlink="">
      <xdr:nvSpPr>
        <xdr:cNvPr id="235" name="Shape 235">
          <a:extLst>
            <a:ext uri="{FF2B5EF4-FFF2-40B4-BE49-F238E27FC236}">
              <a16:creationId xmlns:a16="http://schemas.microsoft.com/office/drawing/2014/main" id="{C23AD42C-EBF4-4C19-9FA8-221273C931B3}"/>
            </a:ext>
          </a:extLst>
        </xdr:cNvPr>
        <xdr:cNvSpPr/>
      </xdr:nvSpPr>
      <xdr:spPr>
        <a:xfrm>
          <a:off x="473262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26</xdr:row>
      <xdr:rowOff>101144</xdr:rowOff>
    </xdr:from>
    <xdr:ext cx="0" cy="27940"/>
    <xdr:sp macro="" textlink="">
      <xdr:nvSpPr>
        <xdr:cNvPr id="236" name="Shape 236">
          <a:extLst>
            <a:ext uri="{FF2B5EF4-FFF2-40B4-BE49-F238E27FC236}">
              <a16:creationId xmlns:a16="http://schemas.microsoft.com/office/drawing/2014/main" id="{E9706755-4295-4F2F-A3DF-3FF46271D21D}"/>
            </a:ext>
          </a:extLst>
        </xdr:cNvPr>
        <xdr:cNvSpPr/>
      </xdr:nvSpPr>
      <xdr:spPr>
        <a:xfrm>
          <a:off x="1667078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26</xdr:row>
      <xdr:rowOff>101144</xdr:rowOff>
    </xdr:from>
    <xdr:ext cx="0" cy="27940"/>
    <xdr:sp macro="" textlink="">
      <xdr:nvSpPr>
        <xdr:cNvPr id="237" name="Shape 237">
          <a:extLst>
            <a:ext uri="{FF2B5EF4-FFF2-40B4-BE49-F238E27FC236}">
              <a16:creationId xmlns:a16="http://schemas.microsoft.com/office/drawing/2014/main" id="{B86CF01D-8605-4225-B7EF-F0F6DFF144AF}"/>
            </a:ext>
          </a:extLst>
        </xdr:cNvPr>
        <xdr:cNvSpPr/>
      </xdr:nvSpPr>
      <xdr:spPr>
        <a:xfrm>
          <a:off x="282077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26</xdr:row>
      <xdr:rowOff>101144</xdr:rowOff>
    </xdr:from>
    <xdr:ext cx="0" cy="27940"/>
    <xdr:sp macro="" textlink="">
      <xdr:nvSpPr>
        <xdr:cNvPr id="238" name="Shape 238">
          <a:extLst>
            <a:ext uri="{FF2B5EF4-FFF2-40B4-BE49-F238E27FC236}">
              <a16:creationId xmlns:a16="http://schemas.microsoft.com/office/drawing/2014/main" id="{92A7FC90-957E-444B-81F4-204D653CB430}"/>
            </a:ext>
          </a:extLst>
        </xdr:cNvPr>
        <xdr:cNvSpPr/>
      </xdr:nvSpPr>
      <xdr:spPr>
        <a:xfrm>
          <a:off x="390142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26</xdr:row>
      <xdr:rowOff>101144</xdr:rowOff>
    </xdr:from>
    <xdr:ext cx="0" cy="27940"/>
    <xdr:sp macro="" textlink="">
      <xdr:nvSpPr>
        <xdr:cNvPr id="239" name="Shape 239">
          <a:extLst>
            <a:ext uri="{FF2B5EF4-FFF2-40B4-BE49-F238E27FC236}">
              <a16:creationId xmlns:a16="http://schemas.microsoft.com/office/drawing/2014/main" id="{74110043-EBA7-4A99-9242-595ED030D6EC}"/>
            </a:ext>
          </a:extLst>
        </xdr:cNvPr>
        <xdr:cNvSpPr/>
      </xdr:nvSpPr>
      <xdr:spPr>
        <a:xfrm>
          <a:off x="512231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26</xdr:row>
      <xdr:rowOff>101144</xdr:rowOff>
    </xdr:from>
    <xdr:ext cx="0" cy="27940"/>
    <xdr:sp macro="" textlink="">
      <xdr:nvSpPr>
        <xdr:cNvPr id="240" name="Shape 240">
          <a:extLst>
            <a:ext uri="{FF2B5EF4-FFF2-40B4-BE49-F238E27FC236}">
              <a16:creationId xmlns:a16="http://schemas.microsoft.com/office/drawing/2014/main" id="{ACCA85A3-A045-4672-8A3A-A5447761BD31}"/>
            </a:ext>
          </a:extLst>
        </xdr:cNvPr>
        <xdr:cNvSpPr/>
      </xdr:nvSpPr>
      <xdr:spPr>
        <a:xfrm>
          <a:off x="374959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26</xdr:row>
      <xdr:rowOff>101144</xdr:rowOff>
    </xdr:from>
    <xdr:ext cx="0" cy="27940"/>
    <xdr:sp macro="" textlink="">
      <xdr:nvSpPr>
        <xdr:cNvPr id="241" name="Shape 241">
          <a:extLst>
            <a:ext uri="{FF2B5EF4-FFF2-40B4-BE49-F238E27FC236}">
              <a16:creationId xmlns:a16="http://schemas.microsoft.com/office/drawing/2014/main" id="{196BC737-6213-499E-97B8-D0E7B8AC33F4}"/>
            </a:ext>
          </a:extLst>
        </xdr:cNvPr>
        <xdr:cNvSpPr/>
      </xdr:nvSpPr>
      <xdr:spPr>
        <a:xfrm>
          <a:off x="2439583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26</xdr:row>
      <xdr:rowOff>101144</xdr:rowOff>
    </xdr:from>
    <xdr:ext cx="0" cy="27940"/>
    <xdr:sp macro="" textlink="">
      <xdr:nvSpPr>
        <xdr:cNvPr id="242" name="Shape 242">
          <a:extLst>
            <a:ext uri="{FF2B5EF4-FFF2-40B4-BE49-F238E27FC236}">
              <a16:creationId xmlns:a16="http://schemas.microsoft.com/office/drawing/2014/main" id="{B2A46D8D-48E3-47C0-B281-4086EE4A38BC}"/>
            </a:ext>
          </a:extLst>
        </xdr:cNvPr>
        <xdr:cNvSpPr/>
      </xdr:nvSpPr>
      <xdr:spPr>
        <a:xfrm>
          <a:off x="358341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26</xdr:row>
      <xdr:rowOff>101144</xdr:rowOff>
    </xdr:from>
    <xdr:ext cx="0" cy="27940"/>
    <xdr:sp macro="" textlink="">
      <xdr:nvSpPr>
        <xdr:cNvPr id="243" name="Shape 243">
          <a:extLst>
            <a:ext uri="{FF2B5EF4-FFF2-40B4-BE49-F238E27FC236}">
              <a16:creationId xmlns:a16="http://schemas.microsoft.com/office/drawing/2014/main" id="{BC07594E-243E-4336-A3D8-14A01C74E423}"/>
            </a:ext>
          </a:extLst>
        </xdr:cNvPr>
        <xdr:cNvSpPr/>
      </xdr:nvSpPr>
      <xdr:spPr>
        <a:xfrm>
          <a:off x="4352461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24</xdr:row>
      <xdr:rowOff>100967</xdr:rowOff>
    </xdr:from>
    <xdr:ext cx="0" cy="27940"/>
    <xdr:sp macro="" textlink="">
      <xdr:nvSpPr>
        <xdr:cNvPr id="244" name="Shape 244">
          <a:extLst>
            <a:ext uri="{FF2B5EF4-FFF2-40B4-BE49-F238E27FC236}">
              <a16:creationId xmlns:a16="http://schemas.microsoft.com/office/drawing/2014/main" id="{36DB1CFD-F5AF-4FBD-A7AC-F197CB803D85}"/>
            </a:ext>
          </a:extLst>
        </xdr:cNvPr>
        <xdr:cNvSpPr/>
      </xdr:nvSpPr>
      <xdr:spPr>
        <a:xfrm>
          <a:off x="205809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24</xdr:row>
      <xdr:rowOff>100967</xdr:rowOff>
    </xdr:from>
    <xdr:ext cx="0" cy="27940"/>
    <xdr:sp macro="" textlink="">
      <xdr:nvSpPr>
        <xdr:cNvPr id="245" name="Shape 245">
          <a:extLst>
            <a:ext uri="{FF2B5EF4-FFF2-40B4-BE49-F238E27FC236}">
              <a16:creationId xmlns:a16="http://schemas.microsoft.com/office/drawing/2014/main" id="{18C6D939-730E-4D0D-BD55-F18D0F50AA7D}"/>
            </a:ext>
          </a:extLst>
        </xdr:cNvPr>
        <xdr:cNvSpPr/>
      </xdr:nvSpPr>
      <xdr:spPr>
        <a:xfrm>
          <a:off x="320984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24</xdr:row>
      <xdr:rowOff>100967</xdr:rowOff>
    </xdr:from>
    <xdr:ext cx="0" cy="27940"/>
    <xdr:sp macro="" textlink="">
      <xdr:nvSpPr>
        <xdr:cNvPr id="246" name="Shape 246">
          <a:extLst>
            <a:ext uri="{FF2B5EF4-FFF2-40B4-BE49-F238E27FC236}">
              <a16:creationId xmlns:a16="http://schemas.microsoft.com/office/drawing/2014/main" id="{A2683E15-F0D8-466F-893C-408EE925840D}"/>
            </a:ext>
          </a:extLst>
        </xdr:cNvPr>
        <xdr:cNvSpPr/>
      </xdr:nvSpPr>
      <xdr:spPr>
        <a:xfrm>
          <a:off x="473262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24</xdr:row>
      <xdr:rowOff>100967</xdr:rowOff>
    </xdr:from>
    <xdr:ext cx="0" cy="27940"/>
    <xdr:sp macro="" textlink="">
      <xdr:nvSpPr>
        <xdr:cNvPr id="247" name="Shape 247">
          <a:extLst>
            <a:ext uri="{FF2B5EF4-FFF2-40B4-BE49-F238E27FC236}">
              <a16:creationId xmlns:a16="http://schemas.microsoft.com/office/drawing/2014/main" id="{0EBF816B-8765-4CF2-AC4E-45AD545CD66F}"/>
            </a:ext>
          </a:extLst>
        </xdr:cNvPr>
        <xdr:cNvSpPr/>
      </xdr:nvSpPr>
      <xdr:spPr>
        <a:xfrm>
          <a:off x="1667078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24</xdr:row>
      <xdr:rowOff>100967</xdr:rowOff>
    </xdr:from>
    <xdr:ext cx="0" cy="27940"/>
    <xdr:sp macro="" textlink="">
      <xdr:nvSpPr>
        <xdr:cNvPr id="248" name="Shape 248">
          <a:extLst>
            <a:ext uri="{FF2B5EF4-FFF2-40B4-BE49-F238E27FC236}">
              <a16:creationId xmlns:a16="http://schemas.microsoft.com/office/drawing/2014/main" id="{8751080B-D9F4-44FF-89CB-8F4B6E4CD206}"/>
            </a:ext>
          </a:extLst>
        </xdr:cNvPr>
        <xdr:cNvSpPr/>
      </xdr:nvSpPr>
      <xdr:spPr>
        <a:xfrm>
          <a:off x="282077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24</xdr:row>
      <xdr:rowOff>100967</xdr:rowOff>
    </xdr:from>
    <xdr:ext cx="0" cy="27940"/>
    <xdr:sp macro="" textlink="">
      <xdr:nvSpPr>
        <xdr:cNvPr id="249" name="Shape 249">
          <a:extLst>
            <a:ext uri="{FF2B5EF4-FFF2-40B4-BE49-F238E27FC236}">
              <a16:creationId xmlns:a16="http://schemas.microsoft.com/office/drawing/2014/main" id="{21D6AE44-4538-4A9D-992D-666BCE65FAC5}"/>
            </a:ext>
          </a:extLst>
        </xdr:cNvPr>
        <xdr:cNvSpPr/>
      </xdr:nvSpPr>
      <xdr:spPr>
        <a:xfrm>
          <a:off x="390142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24</xdr:row>
      <xdr:rowOff>100967</xdr:rowOff>
    </xdr:from>
    <xdr:ext cx="0" cy="27940"/>
    <xdr:sp macro="" textlink="">
      <xdr:nvSpPr>
        <xdr:cNvPr id="250" name="Shape 250">
          <a:extLst>
            <a:ext uri="{FF2B5EF4-FFF2-40B4-BE49-F238E27FC236}">
              <a16:creationId xmlns:a16="http://schemas.microsoft.com/office/drawing/2014/main" id="{73B92EFC-35C3-494B-91DE-47037193EE39}"/>
            </a:ext>
          </a:extLst>
        </xdr:cNvPr>
        <xdr:cNvSpPr/>
      </xdr:nvSpPr>
      <xdr:spPr>
        <a:xfrm>
          <a:off x="512231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24</xdr:row>
      <xdr:rowOff>100967</xdr:rowOff>
    </xdr:from>
    <xdr:ext cx="0" cy="27940"/>
    <xdr:sp macro="" textlink="">
      <xdr:nvSpPr>
        <xdr:cNvPr id="251" name="Shape 251">
          <a:extLst>
            <a:ext uri="{FF2B5EF4-FFF2-40B4-BE49-F238E27FC236}">
              <a16:creationId xmlns:a16="http://schemas.microsoft.com/office/drawing/2014/main" id="{55D100A3-9365-4557-A456-81B023AC727C}"/>
            </a:ext>
          </a:extLst>
        </xdr:cNvPr>
        <xdr:cNvSpPr/>
      </xdr:nvSpPr>
      <xdr:spPr>
        <a:xfrm>
          <a:off x="374959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24</xdr:row>
      <xdr:rowOff>100967</xdr:rowOff>
    </xdr:from>
    <xdr:ext cx="0" cy="27940"/>
    <xdr:sp macro="" textlink="">
      <xdr:nvSpPr>
        <xdr:cNvPr id="252" name="Shape 252">
          <a:extLst>
            <a:ext uri="{FF2B5EF4-FFF2-40B4-BE49-F238E27FC236}">
              <a16:creationId xmlns:a16="http://schemas.microsoft.com/office/drawing/2014/main" id="{6B18710B-21BC-44FC-9AB3-FC4EEFA65F3B}"/>
            </a:ext>
          </a:extLst>
        </xdr:cNvPr>
        <xdr:cNvSpPr/>
      </xdr:nvSpPr>
      <xdr:spPr>
        <a:xfrm>
          <a:off x="2439583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24</xdr:row>
      <xdr:rowOff>100967</xdr:rowOff>
    </xdr:from>
    <xdr:ext cx="0" cy="27940"/>
    <xdr:sp macro="" textlink="">
      <xdr:nvSpPr>
        <xdr:cNvPr id="253" name="Shape 253">
          <a:extLst>
            <a:ext uri="{FF2B5EF4-FFF2-40B4-BE49-F238E27FC236}">
              <a16:creationId xmlns:a16="http://schemas.microsoft.com/office/drawing/2014/main" id="{99634196-EDE2-45D3-9C12-F9CE20AF4B58}"/>
            </a:ext>
          </a:extLst>
        </xdr:cNvPr>
        <xdr:cNvSpPr/>
      </xdr:nvSpPr>
      <xdr:spPr>
        <a:xfrm>
          <a:off x="358341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24</xdr:row>
      <xdr:rowOff>100967</xdr:rowOff>
    </xdr:from>
    <xdr:ext cx="0" cy="27940"/>
    <xdr:sp macro="" textlink="">
      <xdr:nvSpPr>
        <xdr:cNvPr id="254" name="Shape 254">
          <a:extLst>
            <a:ext uri="{FF2B5EF4-FFF2-40B4-BE49-F238E27FC236}">
              <a16:creationId xmlns:a16="http://schemas.microsoft.com/office/drawing/2014/main" id="{D8C306F2-EB59-488B-BD3F-3A7F8DC6D0AA}"/>
            </a:ext>
          </a:extLst>
        </xdr:cNvPr>
        <xdr:cNvSpPr/>
      </xdr:nvSpPr>
      <xdr:spPr>
        <a:xfrm>
          <a:off x="4352461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27</xdr:row>
      <xdr:rowOff>84209</xdr:rowOff>
    </xdr:from>
    <xdr:ext cx="0" cy="27940"/>
    <xdr:sp macro="" textlink="">
      <xdr:nvSpPr>
        <xdr:cNvPr id="255" name="Shape 255">
          <a:extLst>
            <a:ext uri="{FF2B5EF4-FFF2-40B4-BE49-F238E27FC236}">
              <a16:creationId xmlns:a16="http://schemas.microsoft.com/office/drawing/2014/main" id="{279E3F10-5091-45DB-959F-C18B142A18A6}"/>
            </a:ext>
          </a:extLst>
        </xdr:cNvPr>
        <xdr:cNvSpPr/>
      </xdr:nvSpPr>
      <xdr:spPr>
        <a:xfrm>
          <a:off x="205809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27</xdr:row>
      <xdr:rowOff>84209</xdr:rowOff>
    </xdr:from>
    <xdr:ext cx="0" cy="27940"/>
    <xdr:sp macro="" textlink="">
      <xdr:nvSpPr>
        <xdr:cNvPr id="256" name="Shape 256">
          <a:extLst>
            <a:ext uri="{FF2B5EF4-FFF2-40B4-BE49-F238E27FC236}">
              <a16:creationId xmlns:a16="http://schemas.microsoft.com/office/drawing/2014/main" id="{29ED1535-595A-4CB4-975F-8554A0ACD2E1}"/>
            </a:ext>
          </a:extLst>
        </xdr:cNvPr>
        <xdr:cNvSpPr/>
      </xdr:nvSpPr>
      <xdr:spPr>
        <a:xfrm>
          <a:off x="320984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27</xdr:row>
      <xdr:rowOff>84209</xdr:rowOff>
    </xdr:from>
    <xdr:ext cx="0" cy="27940"/>
    <xdr:sp macro="" textlink="">
      <xdr:nvSpPr>
        <xdr:cNvPr id="257" name="Shape 257">
          <a:extLst>
            <a:ext uri="{FF2B5EF4-FFF2-40B4-BE49-F238E27FC236}">
              <a16:creationId xmlns:a16="http://schemas.microsoft.com/office/drawing/2014/main" id="{3DDA1F55-C313-4DB4-98AE-F54934FCF831}"/>
            </a:ext>
          </a:extLst>
        </xdr:cNvPr>
        <xdr:cNvSpPr/>
      </xdr:nvSpPr>
      <xdr:spPr>
        <a:xfrm>
          <a:off x="473262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27</xdr:row>
      <xdr:rowOff>84209</xdr:rowOff>
    </xdr:from>
    <xdr:ext cx="0" cy="27940"/>
    <xdr:sp macro="" textlink="">
      <xdr:nvSpPr>
        <xdr:cNvPr id="258" name="Shape 258">
          <a:extLst>
            <a:ext uri="{FF2B5EF4-FFF2-40B4-BE49-F238E27FC236}">
              <a16:creationId xmlns:a16="http://schemas.microsoft.com/office/drawing/2014/main" id="{C0BAFF3E-3804-4EF1-BA5A-B0E4936D616C}"/>
            </a:ext>
          </a:extLst>
        </xdr:cNvPr>
        <xdr:cNvSpPr/>
      </xdr:nvSpPr>
      <xdr:spPr>
        <a:xfrm>
          <a:off x="1667078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27</xdr:row>
      <xdr:rowOff>84209</xdr:rowOff>
    </xdr:from>
    <xdr:ext cx="0" cy="27940"/>
    <xdr:sp macro="" textlink="">
      <xdr:nvSpPr>
        <xdr:cNvPr id="259" name="Shape 259">
          <a:extLst>
            <a:ext uri="{FF2B5EF4-FFF2-40B4-BE49-F238E27FC236}">
              <a16:creationId xmlns:a16="http://schemas.microsoft.com/office/drawing/2014/main" id="{D3ABFF8B-538B-446A-9464-DE9C9B343521}"/>
            </a:ext>
          </a:extLst>
        </xdr:cNvPr>
        <xdr:cNvSpPr/>
      </xdr:nvSpPr>
      <xdr:spPr>
        <a:xfrm>
          <a:off x="282077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27</xdr:row>
      <xdr:rowOff>84209</xdr:rowOff>
    </xdr:from>
    <xdr:ext cx="0" cy="27940"/>
    <xdr:sp macro="" textlink="">
      <xdr:nvSpPr>
        <xdr:cNvPr id="260" name="Shape 260">
          <a:extLst>
            <a:ext uri="{FF2B5EF4-FFF2-40B4-BE49-F238E27FC236}">
              <a16:creationId xmlns:a16="http://schemas.microsoft.com/office/drawing/2014/main" id="{D9267C17-0F6D-4E83-B6D3-37F7CB808DFF}"/>
            </a:ext>
          </a:extLst>
        </xdr:cNvPr>
        <xdr:cNvSpPr/>
      </xdr:nvSpPr>
      <xdr:spPr>
        <a:xfrm>
          <a:off x="390142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27</xdr:row>
      <xdr:rowOff>84209</xdr:rowOff>
    </xdr:from>
    <xdr:ext cx="0" cy="27940"/>
    <xdr:sp macro="" textlink="">
      <xdr:nvSpPr>
        <xdr:cNvPr id="261" name="Shape 261">
          <a:extLst>
            <a:ext uri="{FF2B5EF4-FFF2-40B4-BE49-F238E27FC236}">
              <a16:creationId xmlns:a16="http://schemas.microsoft.com/office/drawing/2014/main" id="{A6F36E3A-69E6-4076-B5E8-73A553EBFEA0}"/>
            </a:ext>
          </a:extLst>
        </xdr:cNvPr>
        <xdr:cNvSpPr/>
      </xdr:nvSpPr>
      <xdr:spPr>
        <a:xfrm>
          <a:off x="512231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27</xdr:row>
      <xdr:rowOff>84209</xdr:rowOff>
    </xdr:from>
    <xdr:ext cx="0" cy="27940"/>
    <xdr:sp macro="" textlink="">
      <xdr:nvSpPr>
        <xdr:cNvPr id="262" name="Shape 262">
          <a:extLst>
            <a:ext uri="{FF2B5EF4-FFF2-40B4-BE49-F238E27FC236}">
              <a16:creationId xmlns:a16="http://schemas.microsoft.com/office/drawing/2014/main" id="{C3A2872C-403C-4771-8132-C007C65688E4}"/>
            </a:ext>
          </a:extLst>
        </xdr:cNvPr>
        <xdr:cNvSpPr/>
      </xdr:nvSpPr>
      <xdr:spPr>
        <a:xfrm>
          <a:off x="1285875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27</xdr:row>
      <xdr:rowOff>84209</xdr:rowOff>
    </xdr:from>
    <xdr:ext cx="0" cy="27940"/>
    <xdr:sp macro="" textlink="">
      <xdr:nvSpPr>
        <xdr:cNvPr id="263" name="Shape 263">
          <a:extLst>
            <a:ext uri="{FF2B5EF4-FFF2-40B4-BE49-F238E27FC236}">
              <a16:creationId xmlns:a16="http://schemas.microsoft.com/office/drawing/2014/main" id="{C0FDEB0C-88E4-4D2A-969D-BC1A1437174E}"/>
            </a:ext>
          </a:extLst>
        </xdr:cNvPr>
        <xdr:cNvSpPr/>
      </xdr:nvSpPr>
      <xdr:spPr>
        <a:xfrm>
          <a:off x="2439583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27</xdr:row>
      <xdr:rowOff>84209</xdr:rowOff>
    </xdr:from>
    <xdr:ext cx="0" cy="27940"/>
    <xdr:sp macro="" textlink="">
      <xdr:nvSpPr>
        <xdr:cNvPr id="264" name="Shape 264">
          <a:extLst>
            <a:ext uri="{FF2B5EF4-FFF2-40B4-BE49-F238E27FC236}">
              <a16:creationId xmlns:a16="http://schemas.microsoft.com/office/drawing/2014/main" id="{CCB438EF-C21E-4016-B0F7-B4C5D1BCEC0E}"/>
            </a:ext>
          </a:extLst>
        </xdr:cNvPr>
        <xdr:cNvSpPr/>
      </xdr:nvSpPr>
      <xdr:spPr>
        <a:xfrm>
          <a:off x="358341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27</xdr:row>
      <xdr:rowOff>84209</xdr:rowOff>
    </xdr:from>
    <xdr:ext cx="0" cy="27940"/>
    <xdr:sp macro="" textlink="">
      <xdr:nvSpPr>
        <xdr:cNvPr id="265" name="Shape 265">
          <a:extLst>
            <a:ext uri="{FF2B5EF4-FFF2-40B4-BE49-F238E27FC236}">
              <a16:creationId xmlns:a16="http://schemas.microsoft.com/office/drawing/2014/main" id="{723ADA0A-B668-462E-BFAF-1CBDB5F17C73}"/>
            </a:ext>
          </a:extLst>
        </xdr:cNvPr>
        <xdr:cNvSpPr/>
      </xdr:nvSpPr>
      <xdr:spPr>
        <a:xfrm>
          <a:off x="4352461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29</xdr:row>
      <xdr:rowOff>101410</xdr:rowOff>
    </xdr:from>
    <xdr:ext cx="0" cy="27940"/>
    <xdr:sp macro="" textlink="">
      <xdr:nvSpPr>
        <xdr:cNvPr id="266" name="Shape 266">
          <a:extLst>
            <a:ext uri="{FF2B5EF4-FFF2-40B4-BE49-F238E27FC236}">
              <a16:creationId xmlns:a16="http://schemas.microsoft.com/office/drawing/2014/main" id="{044C971C-6714-4475-A5F3-FDFE45B06939}"/>
            </a:ext>
          </a:extLst>
        </xdr:cNvPr>
        <xdr:cNvSpPr/>
      </xdr:nvSpPr>
      <xdr:spPr>
        <a:xfrm>
          <a:off x="205809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29</xdr:row>
      <xdr:rowOff>101410</xdr:rowOff>
    </xdr:from>
    <xdr:ext cx="0" cy="27940"/>
    <xdr:sp macro="" textlink="">
      <xdr:nvSpPr>
        <xdr:cNvPr id="267" name="Shape 267">
          <a:extLst>
            <a:ext uri="{FF2B5EF4-FFF2-40B4-BE49-F238E27FC236}">
              <a16:creationId xmlns:a16="http://schemas.microsoft.com/office/drawing/2014/main" id="{33FA8E2D-8D92-4568-BD7E-C8CEBF68E813}"/>
            </a:ext>
          </a:extLst>
        </xdr:cNvPr>
        <xdr:cNvSpPr/>
      </xdr:nvSpPr>
      <xdr:spPr>
        <a:xfrm>
          <a:off x="320984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29</xdr:row>
      <xdr:rowOff>101410</xdr:rowOff>
    </xdr:from>
    <xdr:ext cx="0" cy="27940"/>
    <xdr:sp macro="" textlink="">
      <xdr:nvSpPr>
        <xdr:cNvPr id="268" name="Shape 268">
          <a:extLst>
            <a:ext uri="{FF2B5EF4-FFF2-40B4-BE49-F238E27FC236}">
              <a16:creationId xmlns:a16="http://schemas.microsoft.com/office/drawing/2014/main" id="{55DD1EDB-021A-410F-932A-1B2E3D6F43AF}"/>
            </a:ext>
          </a:extLst>
        </xdr:cNvPr>
        <xdr:cNvSpPr/>
      </xdr:nvSpPr>
      <xdr:spPr>
        <a:xfrm>
          <a:off x="473262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29</xdr:row>
      <xdr:rowOff>101410</xdr:rowOff>
    </xdr:from>
    <xdr:ext cx="0" cy="27940"/>
    <xdr:sp macro="" textlink="">
      <xdr:nvSpPr>
        <xdr:cNvPr id="269" name="Shape 269">
          <a:extLst>
            <a:ext uri="{FF2B5EF4-FFF2-40B4-BE49-F238E27FC236}">
              <a16:creationId xmlns:a16="http://schemas.microsoft.com/office/drawing/2014/main" id="{30640FED-EE97-45E0-90D0-FA66F1CFC3C9}"/>
            </a:ext>
          </a:extLst>
        </xdr:cNvPr>
        <xdr:cNvSpPr/>
      </xdr:nvSpPr>
      <xdr:spPr>
        <a:xfrm>
          <a:off x="1667078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29</xdr:row>
      <xdr:rowOff>101410</xdr:rowOff>
    </xdr:from>
    <xdr:ext cx="0" cy="27940"/>
    <xdr:sp macro="" textlink="">
      <xdr:nvSpPr>
        <xdr:cNvPr id="270" name="Shape 270">
          <a:extLst>
            <a:ext uri="{FF2B5EF4-FFF2-40B4-BE49-F238E27FC236}">
              <a16:creationId xmlns:a16="http://schemas.microsoft.com/office/drawing/2014/main" id="{A37057C6-AE5B-47E5-B75F-CCADF831AD98}"/>
            </a:ext>
          </a:extLst>
        </xdr:cNvPr>
        <xdr:cNvSpPr/>
      </xdr:nvSpPr>
      <xdr:spPr>
        <a:xfrm>
          <a:off x="282077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29</xdr:row>
      <xdr:rowOff>101410</xdr:rowOff>
    </xdr:from>
    <xdr:ext cx="0" cy="27940"/>
    <xdr:sp macro="" textlink="">
      <xdr:nvSpPr>
        <xdr:cNvPr id="271" name="Shape 271">
          <a:extLst>
            <a:ext uri="{FF2B5EF4-FFF2-40B4-BE49-F238E27FC236}">
              <a16:creationId xmlns:a16="http://schemas.microsoft.com/office/drawing/2014/main" id="{1DEFDC8D-706C-4010-8DCF-213655C1DF9B}"/>
            </a:ext>
          </a:extLst>
        </xdr:cNvPr>
        <xdr:cNvSpPr/>
      </xdr:nvSpPr>
      <xdr:spPr>
        <a:xfrm>
          <a:off x="390142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29</xdr:row>
      <xdr:rowOff>101410</xdr:rowOff>
    </xdr:from>
    <xdr:ext cx="0" cy="27940"/>
    <xdr:sp macro="" textlink="">
      <xdr:nvSpPr>
        <xdr:cNvPr id="272" name="Shape 272">
          <a:extLst>
            <a:ext uri="{FF2B5EF4-FFF2-40B4-BE49-F238E27FC236}">
              <a16:creationId xmlns:a16="http://schemas.microsoft.com/office/drawing/2014/main" id="{C57451C9-EFE7-4067-9BFC-B151968FB046}"/>
            </a:ext>
          </a:extLst>
        </xdr:cNvPr>
        <xdr:cNvSpPr/>
      </xdr:nvSpPr>
      <xdr:spPr>
        <a:xfrm>
          <a:off x="512231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29</xdr:row>
      <xdr:rowOff>101410</xdr:rowOff>
    </xdr:from>
    <xdr:ext cx="0" cy="27940"/>
    <xdr:sp macro="" textlink="">
      <xdr:nvSpPr>
        <xdr:cNvPr id="273" name="Shape 273">
          <a:extLst>
            <a:ext uri="{FF2B5EF4-FFF2-40B4-BE49-F238E27FC236}">
              <a16:creationId xmlns:a16="http://schemas.microsoft.com/office/drawing/2014/main" id="{1CFDFDD7-D925-4259-B1EB-6DBEC846E13D}"/>
            </a:ext>
          </a:extLst>
        </xdr:cNvPr>
        <xdr:cNvSpPr/>
      </xdr:nvSpPr>
      <xdr:spPr>
        <a:xfrm>
          <a:off x="1285875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29</xdr:row>
      <xdr:rowOff>101410</xdr:rowOff>
    </xdr:from>
    <xdr:ext cx="0" cy="27940"/>
    <xdr:sp macro="" textlink="">
      <xdr:nvSpPr>
        <xdr:cNvPr id="274" name="Shape 274">
          <a:extLst>
            <a:ext uri="{FF2B5EF4-FFF2-40B4-BE49-F238E27FC236}">
              <a16:creationId xmlns:a16="http://schemas.microsoft.com/office/drawing/2014/main" id="{78759BD2-07A1-40D0-AC3B-542260086DB2}"/>
            </a:ext>
          </a:extLst>
        </xdr:cNvPr>
        <xdr:cNvSpPr/>
      </xdr:nvSpPr>
      <xdr:spPr>
        <a:xfrm>
          <a:off x="2439583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29</xdr:row>
      <xdr:rowOff>101410</xdr:rowOff>
    </xdr:from>
    <xdr:ext cx="0" cy="27940"/>
    <xdr:sp macro="" textlink="">
      <xdr:nvSpPr>
        <xdr:cNvPr id="275" name="Shape 275">
          <a:extLst>
            <a:ext uri="{FF2B5EF4-FFF2-40B4-BE49-F238E27FC236}">
              <a16:creationId xmlns:a16="http://schemas.microsoft.com/office/drawing/2014/main" id="{93B1D213-68F3-45A4-839F-237515D5C59F}"/>
            </a:ext>
          </a:extLst>
        </xdr:cNvPr>
        <xdr:cNvSpPr/>
      </xdr:nvSpPr>
      <xdr:spPr>
        <a:xfrm>
          <a:off x="358341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29</xdr:row>
      <xdr:rowOff>101410</xdr:rowOff>
    </xdr:from>
    <xdr:ext cx="0" cy="27940"/>
    <xdr:sp macro="" textlink="">
      <xdr:nvSpPr>
        <xdr:cNvPr id="276" name="Shape 276">
          <a:extLst>
            <a:ext uri="{FF2B5EF4-FFF2-40B4-BE49-F238E27FC236}">
              <a16:creationId xmlns:a16="http://schemas.microsoft.com/office/drawing/2014/main" id="{1EFAFC0D-E1D6-4258-AC75-8C11D7F87ABF}"/>
            </a:ext>
          </a:extLst>
        </xdr:cNvPr>
        <xdr:cNvSpPr/>
      </xdr:nvSpPr>
      <xdr:spPr>
        <a:xfrm>
          <a:off x="4352461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28</xdr:row>
      <xdr:rowOff>101320</xdr:rowOff>
    </xdr:from>
    <xdr:ext cx="0" cy="27940"/>
    <xdr:sp macro="" textlink="">
      <xdr:nvSpPr>
        <xdr:cNvPr id="277" name="Shape 277">
          <a:extLst>
            <a:ext uri="{FF2B5EF4-FFF2-40B4-BE49-F238E27FC236}">
              <a16:creationId xmlns:a16="http://schemas.microsoft.com/office/drawing/2014/main" id="{B0FF4EAF-8B50-4419-ACDD-D89E55BD35F7}"/>
            </a:ext>
          </a:extLst>
        </xdr:cNvPr>
        <xdr:cNvSpPr/>
      </xdr:nvSpPr>
      <xdr:spPr>
        <a:xfrm>
          <a:off x="205809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28</xdr:row>
      <xdr:rowOff>101320</xdr:rowOff>
    </xdr:from>
    <xdr:ext cx="0" cy="27940"/>
    <xdr:sp macro="" textlink="">
      <xdr:nvSpPr>
        <xdr:cNvPr id="278" name="Shape 278">
          <a:extLst>
            <a:ext uri="{FF2B5EF4-FFF2-40B4-BE49-F238E27FC236}">
              <a16:creationId xmlns:a16="http://schemas.microsoft.com/office/drawing/2014/main" id="{82A2F00C-8864-49F5-92BA-F3292A0AB757}"/>
            </a:ext>
          </a:extLst>
        </xdr:cNvPr>
        <xdr:cNvSpPr/>
      </xdr:nvSpPr>
      <xdr:spPr>
        <a:xfrm>
          <a:off x="320984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28</xdr:row>
      <xdr:rowOff>101320</xdr:rowOff>
    </xdr:from>
    <xdr:ext cx="0" cy="27940"/>
    <xdr:sp macro="" textlink="">
      <xdr:nvSpPr>
        <xdr:cNvPr id="279" name="Shape 279">
          <a:extLst>
            <a:ext uri="{FF2B5EF4-FFF2-40B4-BE49-F238E27FC236}">
              <a16:creationId xmlns:a16="http://schemas.microsoft.com/office/drawing/2014/main" id="{A7B35428-9476-4340-8DDE-7DC82021D1B9}"/>
            </a:ext>
          </a:extLst>
        </xdr:cNvPr>
        <xdr:cNvSpPr/>
      </xdr:nvSpPr>
      <xdr:spPr>
        <a:xfrm>
          <a:off x="473262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28</xdr:row>
      <xdr:rowOff>101320</xdr:rowOff>
    </xdr:from>
    <xdr:ext cx="0" cy="27940"/>
    <xdr:sp macro="" textlink="">
      <xdr:nvSpPr>
        <xdr:cNvPr id="280" name="Shape 280">
          <a:extLst>
            <a:ext uri="{FF2B5EF4-FFF2-40B4-BE49-F238E27FC236}">
              <a16:creationId xmlns:a16="http://schemas.microsoft.com/office/drawing/2014/main" id="{BEB1C026-30FE-4A67-BDB2-35C9DD45F426}"/>
            </a:ext>
          </a:extLst>
        </xdr:cNvPr>
        <xdr:cNvSpPr/>
      </xdr:nvSpPr>
      <xdr:spPr>
        <a:xfrm>
          <a:off x="1667078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28</xdr:row>
      <xdr:rowOff>101320</xdr:rowOff>
    </xdr:from>
    <xdr:ext cx="0" cy="27940"/>
    <xdr:sp macro="" textlink="">
      <xdr:nvSpPr>
        <xdr:cNvPr id="281" name="Shape 281">
          <a:extLst>
            <a:ext uri="{FF2B5EF4-FFF2-40B4-BE49-F238E27FC236}">
              <a16:creationId xmlns:a16="http://schemas.microsoft.com/office/drawing/2014/main" id="{20051855-6F1E-4098-9BCC-93DA4A157ACF}"/>
            </a:ext>
          </a:extLst>
        </xdr:cNvPr>
        <xdr:cNvSpPr/>
      </xdr:nvSpPr>
      <xdr:spPr>
        <a:xfrm>
          <a:off x="282077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28</xdr:row>
      <xdr:rowOff>101320</xdr:rowOff>
    </xdr:from>
    <xdr:ext cx="0" cy="27940"/>
    <xdr:sp macro="" textlink="">
      <xdr:nvSpPr>
        <xdr:cNvPr id="282" name="Shape 282">
          <a:extLst>
            <a:ext uri="{FF2B5EF4-FFF2-40B4-BE49-F238E27FC236}">
              <a16:creationId xmlns:a16="http://schemas.microsoft.com/office/drawing/2014/main" id="{F98FB330-72CA-4713-9E92-F129EE1946E8}"/>
            </a:ext>
          </a:extLst>
        </xdr:cNvPr>
        <xdr:cNvSpPr/>
      </xdr:nvSpPr>
      <xdr:spPr>
        <a:xfrm>
          <a:off x="390142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28</xdr:row>
      <xdr:rowOff>101320</xdr:rowOff>
    </xdr:from>
    <xdr:ext cx="0" cy="27940"/>
    <xdr:sp macro="" textlink="">
      <xdr:nvSpPr>
        <xdr:cNvPr id="283" name="Shape 283">
          <a:extLst>
            <a:ext uri="{FF2B5EF4-FFF2-40B4-BE49-F238E27FC236}">
              <a16:creationId xmlns:a16="http://schemas.microsoft.com/office/drawing/2014/main" id="{03E5CC78-5D0B-468E-B395-51C8AEC3BBDD}"/>
            </a:ext>
          </a:extLst>
        </xdr:cNvPr>
        <xdr:cNvSpPr/>
      </xdr:nvSpPr>
      <xdr:spPr>
        <a:xfrm>
          <a:off x="512231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28</xdr:row>
      <xdr:rowOff>101320</xdr:rowOff>
    </xdr:from>
    <xdr:ext cx="0" cy="27940"/>
    <xdr:sp macro="" textlink="">
      <xdr:nvSpPr>
        <xdr:cNvPr id="284" name="Shape 284">
          <a:extLst>
            <a:ext uri="{FF2B5EF4-FFF2-40B4-BE49-F238E27FC236}">
              <a16:creationId xmlns:a16="http://schemas.microsoft.com/office/drawing/2014/main" id="{F8E6E23D-73E5-45C2-B906-E51A48AAD860}"/>
            </a:ext>
          </a:extLst>
        </xdr:cNvPr>
        <xdr:cNvSpPr/>
      </xdr:nvSpPr>
      <xdr:spPr>
        <a:xfrm>
          <a:off x="1285875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28</xdr:row>
      <xdr:rowOff>101320</xdr:rowOff>
    </xdr:from>
    <xdr:ext cx="0" cy="27940"/>
    <xdr:sp macro="" textlink="">
      <xdr:nvSpPr>
        <xdr:cNvPr id="285" name="Shape 285">
          <a:extLst>
            <a:ext uri="{FF2B5EF4-FFF2-40B4-BE49-F238E27FC236}">
              <a16:creationId xmlns:a16="http://schemas.microsoft.com/office/drawing/2014/main" id="{3248DED7-85F6-4923-A2D1-3B8811AF923E}"/>
            </a:ext>
          </a:extLst>
        </xdr:cNvPr>
        <xdr:cNvSpPr/>
      </xdr:nvSpPr>
      <xdr:spPr>
        <a:xfrm>
          <a:off x="2439583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28</xdr:row>
      <xdr:rowOff>101320</xdr:rowOff>
    </xdr:from>
    <xdr:ext cx="0" cy="27940"/>
    <xdr:sp macro="" textlink="">
      <xdr:nvSpPr>
        <xdr:cNvPr id="286" name="Shape 286">
          <a:extLst>
            <a:ext uri="{FF2B5EF4-FFF2-40B4-BE49-F238E27FC236}">
              <a16:creationId xmlns:a16="http://schemas.microsoft.com/office/drawing/2014/main" id="{E80A21CF-9FA0-4F94-BAD2-B489D86DE0C8}"/>
            </a:ext>
          </a:extLst>
        </xdr:cNvPr>
        <xdr:cNvSpPr/>
      </xdr:nvSpPr>
      <xdr:spPr>
        <a:xfrm>
          <a:off x="358341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28</xdr:row>
      <xdr:rowOff>101320</xdr:rowOff>
    </xdr:from>
    <xdr:ext cx="0" cy="27940"/>
    <xdr:sp macro="" textlink="">
      <xdr:nvSpPr>
        <xdr:cNvPr id="287" name="Shape 287">
          <a:extLst>
            <a:ext uri="{FF2B5EF4-FFF2-40B4-BE49-F238E27FC236}">
              <a16:creationId xmlns:a16="http://schemas.microsoft.com/office/drawing/2014/main" id="{9DB5C38B-B0CE-447A-A9C7-F2C120870BE3}"/>
            </a:ext>
          </a:extLst>
        </xdr:cNvPr>
        <xdr:cNvSpPr/>
      </xdr:nvSpPr>
      <xdr:spPr>
        <a:xfrm>
          <a:off x="4352461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34</xdr:row>
      <xdr:rowOff>101855</xdr:rowOff>
    </xdr:from>
    <xdr:ext cx="0" cy="27940"/>
    <xdr:sp macro="" textlink="">
      <xdr:nvSpPr>
        <xdr:cNvPr id="288" name="Shape 288">
          <a:extLst>
            <a:ext uri="{FF2B5EF4-FFF2-40B4-BE49-F238E27FC236}">
              <a16:creationId xmlns:a16="http://schemas.microsoft.com/office/drawing/2014/main" id="{CF750BB6-C291-415A-94FF-23AE0CE08B7A}"/>
            </a:ext>
          </a:extLst>
        </xdr:cNvPr>
        <xdr:cNvSpPr/>
      </xdr:nvSpPr>
      <xdr:spPr>
        <a:xfrm>
          <a:off x="205809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34</xdr:row>
      <xdr:rowOff>101855</xdr:rowOff>
    </xdr:from>
    <xdr:ext cx="0" cy="27940"/>
    <xdr:sp macro="" textlink="">
      <xdr:nvSpPr>
        <xdr:cNvPr id="289" name="Shape 289">
          <a:extLst>
            <a:ext uri="{FF2B5EF4-FFF2-40B4-BE49-F238E27FC236}">
              <a16:creationId xmlns:a16="http://schemas.microsoft.com/office/drawing/2014/main" id="{B4E49100-8F12-4D9F-9884-6AA956224FB1}"/>
            </a:ext>
          </a:extLst>
        </xdr:cNvPr>
        <xdr:cNvSpPr/>
      </xdr:nvSpPr>
      <xdr:spPr>
        <a:xfrm>
          <a:off x="320984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34</xdr:row>
      <xdr:rowOff>101855</xdr:rowOff>
    </xdr:from>
    <xdr:ext cx="0" cy="27940"/>
    <xdr:sp macro="" textlink="">
      <xdr:nvSpPr>
        <xdr:cNvPr id="290" name="Shape 290">
          <a:extLst>
            <a:ext uri="{FF2B5EF4-FFF2-40B4-BE49-F238E27FC236}">
              <a16:creationId xmlns:a16="http://schemas.microsoft.com/office/drawing/2014/main" id="{10608E50-64B7-4BE8-AD03-B5FDB62FBF6A}"/>
            </a:ext>
          </a:extLst>
        </xdr:cNvPr>
        <xdr:cNvSpPr/>
      </xdr:nvSpPr>
      <xdr:spPr>
        <a:xfrm>
          <a:off x="473262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34</xdr:row>
      <xdr:rowOff>101855</xdr:rowOff>
    </xdr:from>
    <xdr:ext cx="0" cy="27940"/>
    <xdr:sp macro="" textlink="">
      <xdr:nvSpPr>
        <xdr:cNvPr id="291" name="Shape 291">
          <a:extLst>
            <a:ext uri="{FF2B5EF4-FFF2-40B4-BE49-F238E27FC236}">
              <a16:creationId xmlns:a16="http://schemas.microsoft.com/office/drawing/2014/main" id="{E3741660-FB6A-4690-AD63-0F10393598ED}"/>
            </a:ext>
          </a:extLst>
        </xdr:cNvPr>
        <xdr:cNvSpPr/>
      </xdr:nvSpPr>
      <xdr:spPr>
        <a:xfrm>
          <a:off x="1667078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34</xdr:row>
      <xdr:rowOff>101855</xdr:rowOff>
    </xdr:from>
    <xdr:ext cx="0" cy="27940"/>
    <xdr:sp macro="" textlink="">
      <xdr:nvSpPr>
        <xdr:cNvPr id="292" name="Shape 292">
          <a:extLst>
            <a:ext uri="{FF2B5EF4-FFF2-40B4-BE49-F238E27FC236}">
              <a16:creationId xmlns:a16="http://schemas.microsoft.com/office/drawing/2014/main" id="{8ABA773F-A1D0-4E54-989B-5DCFABF24135}"/>
            </a:ext>
          </a:extLst>
        </xdr:cNvPr>
        <xdr:cNvSpPr/>
      </xdr:nvSpPr>
      <xdr:spPr>
        <a:xfrm>
          <a:off x="282077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34</xdr:row>
      <xdr:rowOff>101855</xdr:rowOff>
    </xdr:from>
    <xdr:ext cx="0" cy="27940"/>
    <xdr:sp macro="" textlink="">
      <xdr:nvSpPr>
        <xdr:cNvPr id="293" name="Shape 293">
          <a:extLst>
            <a:ext uri="{FF2B5EF4-FFF2-40B4-BE49-F238E27FC236}">
              <a16:creationId xmlns:a16="http://schemas.microsoft.com/office/drawing/2014/main" id="{803484F9-1CDA-45AE-B123-5E412C928E74}"/>
            </a:ext>
          </a:extLst>
        </xdr:cNvPr>
        <xdr:cNvSpPr/>
      </xdr:nvSpPr>
      <xdr:spPr>
        <a:xfrm>
          <a:off x="390142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34</xdr:row>
      <xdr:rowOff>101855</xdr:rowOff>
    </xdr:from>
    <xdr:ext cx="0" cy="27940"/>
    <xdr:sp macro="" textlink="">
      <xdr:nvSpPr>
        <xdr:cNvPr id="294" name="Shape 294">
          <a:extLst>
            <a:ext uri="{FF2B5EF4-FFF2-40B4-BE49-F238E27FC236}">
              <a16:creationId xmlns:a16="http://schemas.microsoft.com/office/drawing/2014/main" id="{A9F8D912-0A78-4DCF-9C68-7A7DF2096B23}"/>
            </a:ext>
          </a:extLst>
        </xdr:cNvPr>
        <xdr:cNvSpPr/>
      </xdr:nvSpPr>
      <xdr:spPr>
        <a:xfrm>
          <a:off x="512231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34</xdr:row>
      <xdr:rowOff>101855</xdr:rowOff>
    </xdr:from>
    <xdr:ext cx="0" cy="27940"/>
    <xdr:sp macro="" textlink="">
      <xdr:nvSpPr>
        <xdr:cNvPr id="295" name="Shape 295">
          <a:extLst>
            <a:ext uri="{FF2B5EF4-FFF2-40B4-BE49-F238E27FC236}">
              <a16:creationId xmlns:a16="http://schemas.microsoft.com/office/drawing/2014/main" id="{1758EC38-C074-443C-A04B-88BC359EBDB2}"/>
            </a:ext>
          </a:extLst>
        </xdr:cNvPr>
        <xdr:cNvSpPr/>
      </xdr:nvSpPr>
      <xdr:spPr>
        <a:xfrm>
          <a:off x="1285875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34</xdr:row>
      <xdr:rowOff>101855</xdr:rowOff>
    </xdr:from>
    <xdr:ext cx="0" cy="27940"/>
    <xdr:sp macro="" textlink="">
      <xdr:nvSpPr>
        <xdr:cNvPr id="296" name="Shape 296">
          <a:extLst>
            <a:ext uri="{FF2B5EF4-FFF2-40B4-BE49-F238E27FC236}">
              <a16:creationId xmlns:a16="http://schemas.microsoft.com/office/drawing/2014/main" id="{2E1760C9-BA3E-4E70-AF9F-B575A2DABA36}"/>
            </a:ext>
          </a:extLst>
        </xdr:cNvPr>
        <xdr:cNvSpPr/>
      </xdr:nvSpPr>
      <xdr:spPr>
        <a:xfrm>
          <a:off x="2439583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34</xdr:row>
      <xdr:rowOff>101855</xdr:rowOff>
    </xdr:from>
    <xdr:ext cx="0" cy="27940"/>
    <xdr:sp macro="" textlink="">
      <xdr:nvSpPr>
        <xdr:cNvPr id="297" name="Shape 297">
          <a:extLst>
            <a:ext uri="{FF2B5EF4-FFF2-40B4-BE49-F238E27FC236}">
              <a16:creationId xmlns:a16="http://schemas.microsoft.com/office/drawing/2014/main" id="{C4E042B7-AE99-4BCF-8372-7490670C4CBC}"/>
            </a:ext>
          </a:extLst>
        </xdr:cNvPr>
        <xdr:cNvSpPr/>
      </xdr:nvSpPr>
      <xdr:spPr>
        <a:xfrm>
          <a:off x="358341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34</xdr:row>
      <xdr:rowOff>101855</xdr:rowOff>
    </xdr:from>
    <xdr:ext cx="0" cy="27940"/>
    <xdr:sp macro="" textlink="">
      <xdr:nvSpPr>
        <xdr:cNvPr id="298" name="Shape 298">
          <a:extLst>
            <a:ext uri="{FF2B5EF4-FFF2-40B4-BE49-F238E27FC236}">
              <a16:creationId xmlns:a16="http://schemas.microsoft.com/office/drawing/2014/main" id="{598C1C74-9297-4F60-AE5B-B8127B9112B7}"/>
            </a:ext>
          </a:extLst>
        </xdr:cNvPr>
        <xdr:cNvSpPr/>
      </xdr:nvSpPr>
      <xdr:spPr>
        <a:xfrm>
          <a:off x="4352461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39</xdr:row>
      <xdr:rowOff>102298</xdr:rowOff>
    </xdr:from>
    <xdr:ext cx="0" cy="27940"/>
    <xdr:sp macro="" textlink="">
      <xdr:nvSpPr>
        <xdr:cNvPr id="299" name="Shape 299">
          <a:extLst>
            <a:ext uri="{FF2B5EF4-FFF2-40B4-BE49-F238E27FC236}">
              <a16:creationId xmlns:a16="http://schemas.microsoft.com/office/drawing/2014/main" id="{E7A47065-1494-4315-8F51-73E66A9CB3B0}"/>
            </a:ext>
          </a:extLst>
        </xdr:cNvPr>
        <xdr:cNvSpPr/>
      </xdr:nvSpPr>
      <xdr:spPr>
        <a:xfrm>
          <a:off x="205809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39</xdr:row>
      <xdr:rowOff>102298</xdr:rowOff>
    </xdr:from>
    <xdr:ext cx="0" cy="27940"/>
    <xdr:sp macro="" textlink="">
      <xdr:nvSpPr>
        <xdr:cNvPr id="300" name="Shape 300">
          <a:extLst>
            <a:ext uri="{FF2B5EF4-FFF2-40B4-BE49-F238E27FC236}">
              <a16:creationId xmlns:a16="http://schemas.microsoft.com/office/drawing/2014/main" id="{F59B73F9-8DB4-4D18-B317-B0CC52F2EABC}"/>
            </a:ext>
          </a:extLst>
        </xdr:cNvPr>
        <xdr:cNvSpPr/>
      </xdr:nvSpPr>
      <xdr:spPr>
        <a:xfrm>
          <a:off x="320984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39</xdr:row>
      <xdr:rowOff>102298</xdr:rowOff>
    </xdr:from>
    <xdr:ext cx="0" cy="27940"/>
    <xdr:sp macro="" textlink="">
      <xdr:nvSpPr>
        <xdr:cNvPr id="301" name="Shape 301">
          <a:extLst>
            <a:ext uri="{FF2B5EF4-FFF2-40B4-BE49-F238E27FC236}">
              <a16:creationId xmlns:a16="http://schemas.microsoft.com/office/drawing/2014/main" id="{47664F20-85EF-48C9-978B-0F7522E89839}"/>
            </a:ext>
          </a:extLst>
        </xdr:cNvPr>
        <xdr:cNvSpPr/>
      </xdr:nvSpPr>
      <xdr:spPr>
        <a:xfrm>
          <a:off x="473262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39</xdr:row>
      <xdr:rowOff>102298</xdr:rowOff>
    </xdr:from>
    <xdr:ext cx="0" cy="27940"/>
    <xdr:sp macro="" textlink="">
      <xdr:nvSpPr>
        <xdr:cNvPr id="302" name="Shape 302">
          <a:extLst>
            <a:ext uri="{FF2B5EF4-FFF2-40B4-BE49-F238E27FC236}">
              <a16:creationId xmlns:a16="http://schemas.microsoft.com/office/drawing/2014/main" id="{C593223F-B481-443C-B503-119AB814FAA7}"/>
            </a:ext>
          </a:extLst>
        </xdr:cNvPr>
        <xdr:cNvSpPr/>
      </xdr:nvSpPr>
      <xdr:spPr>
        <a:xfrm>
          <a:off x="1667078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39</xdr:row>
      <xdr:rowOff>102298</xdr:rowOff>
    </xdr:from>
    <xdr:ext cx="0" cy="27940"/>
    <xdr:sp macro="" textlink="">
      <xdr:nvSpPr>
        <xdr:cNvPr id="303" name="Shape 303">
          <a:extLst>
            <a:ext uri="{FF2B5EF4-FFF2-40B4-BE49-F238E27FC236}">
              <a16:creationId xmlns:a16="http://schemas.microsoft.com/office/drawing/2014/main" id="{EDFA2F66-6172-4103-80F0-33CD0574A5E1}"/>
            </a:ext>
          </a:extLst>
        </xdr:cNvPr>
        <xdr:cNvSpPr/>
      </xdr:nvSpPr>
      <xdr:spPr>
        <a:xfrm>
          <a:off x="282077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39</xdr:row>
      <xdr:rowOff>102298</xdr:rowOff>
    </xdr:from>
    <xdr:ext cx="0" cy="27940"/>
    <xdr:sp macro="" textlink="">
      <xdr:nvSpPr>
        <xdr:cNvPr id="304" name="Shape 304">
          <a:extLst>
            <a:ext uri="{FF2B5EF4-FFF2-40B4-BE49-F238E27FC236}">
              <a16:creationId xmlns:a16="http://schemas.microsoft.com/office/drawing/2014/main" id="{C28ABA8F-E0FB-4361-B0AC-80FA5131C64B}"/>
            </a:ext>
          </a:extLst>
        </xdr:cNvPr>
        <xdr:cNvSpPr/>
      </xdr:nvSpPr>
      <xdr:spPr>
        <a:xfrm>
          <a:off x="390142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39</xdr:row>
      <xdr:rowOff>102298</xdr:rowOff>
    </xdr:from>
    <xdr:ext cx="0" cy="27940"/>
    <xdr:sp macro="" textlink="">
      <xdr:nvSpPr>
        <xdr:cNvPr id="305" name="Shape 305">
          <a:extLst>
            <a:ext uri="{FF2B5EF4-FFF2-40B4-BE49-F238E27FC236}">
              <a16:creationId xmlns:a16="http://schemas.microsoft.com/office/drawing/2014/main" id="{424C7798-D33D-473F-A308-285B7EB2132D}"/>
            </a:ext>
          </a:extLst>
        </xdr:cNvPr>
        <xdr:cNvSpPr/>
      </xdr:nvSpPr>
      <xdr:spPr>
        <a:xfrm>
          <a:off x="512231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39</xdr:row>
      <xdr:rowOff>102298</xdr:rowOff>
    </xdr:from>
    <xdr:ext cx="0" cy="27940"/>
    <xdr:sp macro="" textlink="">
      <xdr:nvSpPr>
        <xdr:cNvPr id="306" name="Shape 306">
          <a:extLst>
            <a:ext uri="{FF2B5EF4-FFF2-40B4-BE49-F238E27FC236}">
              <a16:creationId xmlns:a16="http://schemas.microsoft.com/office/drawing/2014/main" id="{B45354E7-B9A3-44A7-91D2-0E439D138D61}"/>
            </a:ext>
          </a:extLst>
        </xdr:cNvPr>
        <xdr:cNvSpPr/>
      </xdr:nvSpPr>
      <xdr:spPr>
        <a:xfrm>
          <a:off x="1285875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39</xdr:row>
      <xdr:rowOff>102298</xdr:rowOff>
    </xdr:from>
    <xdr:ext cx="0" cy="27940"/>
    <xdr:sp macro="" textlink="">
      <xdr:nvSpPr>
        <xdr:cNvPr id="307" name="Shape 307">
          <a:extLst>
            <a:ext uri="{FF2B5EF4-FFF2-40B4-BE49-F238E27FC236}">
              <a16:creationId xmlns:a16="http://schemas.microsoft.com/office/drawing/2014/main" id="{543C8ACB-2239-4D8E-A129-C2503CDD9D26}"/>
            </a:ext>
          </a:extLst>
        </xdr:cNvPr>
        <xdr:cNvSpPr/>
      </xdr:nvSpPr>
      <xdr:spPr>
        <a:xfrm>
          <a:off x="2439583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39</xdr:row>
      <xdr:rowOff>102298</xdr:rowOff>
    </xdr:from>
    <xdr:ext cx="0" cy="27940"/>
    <xdr:sp macro="" textlink="">
      <xdr:nvSpPr>
        <xdr:cNvPr id="308" name="Shape 308">
          <a:extLst>
            <a:ext uri="{FF2B5EF4-FFF2-40B4-BE49-F238E27FC236}">
              <a16:creationId xmlns:a16="http://schemas.microsoft.com/office/drawing/2014/main" id="{1B2ADAC2-F593-4491-A70E-9C2BCE69A280}"/>
            </a:ext>
          </a:extLst>
        </xdr:cNvPr>
        <xdr:cNvSpPr/>
      </xdr:nvSpPr>
      <xdr:spPr>
        <a:xfrm>
          <a:off x="358341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39</xdr:row>
      <xdr:rowOff>102298</xdr:rowOff>
    </xdr:from>
    <xdr:ext cx="0" cy="27940"/>
    <xdr:sp macro="" textlink="">
      <xdr:nvSpPr>
        <xdr:cNvPr id="309" name="Shape 309">
          <a:extLst>
            <a:ext uri="{FF2B5EF4-FFF2-40B4-BE49-F238E27FC236}">
              <a16:creationId xmlns:a16="http://schemas.microsoft.com/office/drawing/2014/main" id="{90BCBAB1-A902-4905-85F1-DF749DB3B1A5}"/>
            </a:ext>
          </a:extLst>
        </xdr:cNvPr>
        <xdr:cNvSpPr/>
      </xdr:nvSpPr>
      <xdr:spPr>
        <a:xfrm>
          <a:off x="4352461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35</xdr:row>
      <xdr:rowOff>101941</xdr:rowOff>
    </xdr:from>
    <xdr:ext cx="0" cy="27940"/>
    <xdr:sp macro="" textlink="">
      <xdr:nvSpPr>
        <xdr:cNvPr id="310" name="Shape 310">
          <a:extLst>
            <a:ext uri="{FF2B5EF4-FFF2-40B4-BE49-F238E27FC236}">
              <a16:creationId xmlns:a16="http://schemas.microsoft.com/office/drawing/2014/main" id="{BDCEDDAC-64B9-4776-B390-F6A7870A25A9}"/>
            </a:ext>
          </a:extLst>
        </xdr:cNvPr>
        <xdr:cNvSpPr/>
      </xdr:nvSpPr>
      <xdr:spPr>
        <a:xfrm>
          <a:off x="205809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35</xdr:row>
      <xdr:rowOff>101941</xdr:rowOff>
    </xdr:from>
    <xdr:ext cx="0" cy="27940"/>
    <xdr:sp macro="" textlink="">
      <xdr:nvSpPr>
        <xdr:cNvPr id="311" name="Shape 311">
          <a:extLst>
            <a:ext uri="{FF2B5EF4-FFF2-40B4-BE49-F238E27FC236}">
              <a16:creationId xmlns:a16="http://schemas.microsoft.com/office/drawing/2014/main" id="{B512E81B-4BC3-4F5C-BC78-C2A2677BB006}"/>
            </a:ext>
          </a:extLst>
        </xdr:cNvPr>
        <xdr:cNvSpPr/>
      </xdr:nvSpPr>
      <xdr:spPr>
        <a:xfrm>
          <a:off x="320984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35</xdr:row>
      <xdr:rowOff>101941</xdr:rowOff>
    </xdr:from>
    <xdr:ext cx="0" cy="27940"/>
    <xdr:sp macro="" textlink="">
      <xdr:nvSpPr>
        <xdr:cNvPr id="312" name="Shape 312">
          <a:extLst>
            <a:ext uri="{FF2B5EF4-FFF2-40B4-BE49-F238E27FC236}">
              <a16:creationId xmlns:a16="http://schemas.microsoft.com/office/drawing/2014/main" id="{804313A7-3DEF-4C6A-B751-95BBFC623137}"/>
            </a:ext>
          </a:extLst>
        </xdr:cNvPr>
        <xdr:cNvSpPr/>
      </xdr:nvSpPr>
      <xdr:spPr>
        <a:xfrm>
          <a:off x="473262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35</xdr:row>
      <xdr:rowOff>101941</xdr:rowOff>
    </xdr:from>
    <xdr:ext cx="0" cy="27940"/>
    <xdr:sp macro="" textlink="">
      <xdr:nvSpPr>
        <xdr:cNvPr id="313" name="Shape 313">
          <a:extLst>
            <a:ext uri="{FF2B5EF4-FFF2-40B4-BE49-F238E27FC236}">
              <a16:creationId xmlns:a16="http://schemas.microsoft.com/office/drawing/2014/main" id="{4F9E7570-41BA-480A-8687-300CDE616880}"/>
            </a:ext>
          </a:extLst>
        </xdr:cNvPr>
        <xdr:cNvSpPr/>
      </xdr:nvSpPr>
      <xdr:spPr>
        <a:xfrm>
          <a:off x="1667078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35</xdr:row>
      <xdr:rowOff>101941</xdr:rowOff>
    </xdr:from>
    <xdr:ext cx="0" cy="27940"/>
    <xdr:sp macro="" textlink="">
      <xdr:nvSpPr>
        <xdr:cNvPr id="314" name="Shape 314">
          <a:extLst>
            <a:ext uri="{FF2B5EF4-FFF2-40B4-BE49-F238E27FC236}">
              <a16:creationId xmlns:a16="http://schemas.microsoft.com/office/drawing/2014/main" id="{7367B837-D990-4214-9380-844848232709}"/>
            </a:ext>
          </a:extLst>
        </xdr:cNvPr>
        <xdr:cNvSpPr/>
      </xdr:nvSpPr>
      <xdr:spPr>
        <a:xfrm>
          <a:off x="282077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35</xdr:row>
      <xdr:rowOff>101941</xdr:rowOff>
    </xdr:from>
    <xdr:ext cx="0" cy="27940"/>
    <xdr:sp macro="" textlink="">
      <xdr:nvSpPr>
        <xdr:cNvPr id="315" name="Shape 315">
          <a:extLst>
            <a:ext uri="{FF2B5EF4-FFF2-40B4-BE49-F238E27FC236}">
              <a16:creationId xmlns:a16="http://schemas.microsoft.com/office/drawing/2014/main" id="{5D25EDEB-508B-4A1D-BF38-0163B9EB26D5}"/>
            </a:ext>
          </a:extLst>
        </xdr:cNvPr>
        <xdr:cNvSpPr/>
      </xdr:nvSpPr>
      <xdr:spPr>
        <a:xfrm>
          <a:off x="390142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35</xdr:row>
      <xdr:rowOff>101941</xdr:rowOff>
    </xdr:from>
    <xdr:ext cx="0" cy="27940"/>
    <xdr:sp macro="" textlink="">
      <xdr:nvSpPr>
        <xdr:cNvPr id="316" name="Shape 316">
          <a:extLst>
            <a:ext uri="{FF2B5EF4-FFF2-40B4-BE49-F238E27FC236}">
              <a16:creationId xmlns:a16="http://schemas.microsoft.com/office/drawing/2014/main" id="{2264B24C-BE1F-48ED-BAD4-093C2618AA3C}"/>
            </a:ext>
          </a:extLst>
        </xdr:cNvPr>
        <xdr:cNvSpPr/>
      </xdr:nvSpPr>
      <xdr:spPr>
        <a:xfrm>
          <a:off x="512231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35</xdr:row>
      <xdr:rowOff>101941</xdr:rowOff>
    </xdr:from>
    <xdr:ext cx="0" cy="27940"/>
    <xdr:sp macro="" textlink="">
      <xdr:nvSpPr>
        <xdr:cNvPr id="317" name="Shape 317">
          <a:extLst>
            <a:ext uri="{FF2B5EF4-FFF2-40B4-BE49-F238E27FC236}">
              <a16:creationId xmlns:a16="http://schemas.microsoft.com/office/drawing/2014/main" id="{F133F2E1-7A27-4D4B-9E58-FC82DA782832}"/>
            </a:ext>
          </a:extLst>
        </xdr:cNvPr>
        <xdr:cNvSpPr/>
      </xdr:nvSpPr>
      <xdr:spPr>
        <a:xfrm>
          <a:off x="1285875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35</xdr:row>
      <xdr:rowOff>101941</xdr:rowOff>
    </xdr:from>
    <xdr:ext cx="0" cy="27940"/>
    <xdr:sp macro="" textlink="">
      <xdr:nvSpPr>
        <xdr:cNvPr id="318" name="Shape 318">
          <a:extLst>
            <a:ext uri="{FF2B5EF4-FFF2-40B4-BE49-F238E27FC236}">
              <a16:creationId xmlns:a16="http://schemas.microsoft.com/office/drawing/2014/main" id="{58AD6EFA-FFBA-4D65-9C21-D163C3E44EAA}"/>
            </a:ext>
          </a:extLst>
        </xdr:cNvPr>
        <xdr:cNvSpPr/>
      </xdr:nvSpPr>
      <xdr:spPr>
        <a:xfrm>
          <a:off x="2439583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35</xdr:row>
      <xdr:rowOff>101941</xdr:rowOff>
    </xdr:from>
    <xdr:ext cx="0" cy="27940"/>
    <xdr:sp macro="" textlink="">
      <xdr:nvSpPr>
        <xdr:cNvPr id="319" name="Shape 319">
          <a:extLst>
            <a:ext uri="{FF2B5EF4-FFF2-40B4-BE49-F238E27FC236}">
              <a16:creationId xmlns:a16="http://schemas.microsoft.com/office/drawing/2014/main" id="{471F083D-01EF-43D6-ACE9-1CA9BB587F55}"/>
            </a:ext>
          </a:extLst>
        </xdr:cNvPr>
        <xdr:cNvSpPr/>
      </xdr:nvSpPr>
      <xdr:spPr>
        <a:xfrm>
          <a:off x="358341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35</xdr:row>
      <xdr:rowOff>101941</xdr:rowOff>
    </xdr:from>
    <xdr:ext cx="0" cy="27940"/>
    <xdr:sp macro="" textlink="">
      <xdr:nvSpPr>
        <xdr:cNvPr id="320" name="Shape 320">
          <a:extLst>
            <a:ext uri="{FF2B5EF4-FFF2-40B4-BE49-F238E27FC236}">
              <a16:creationId xmlns:a16="http://schemas.microsoft.com/office/drawing/2014/main" id="{4533AFDA-B689-4698-A561-2534EF323C96}"/>
            </a:ext>
          </a:extLst>
        </xdr:cNvPr>
        <xdr:cNvSpPr/>
      </xdr:nvSpPr>
      <xdr:spPr>
        <a:xfrm>
          <a:off x="4352461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38</xdr:row>
      <xdr:rowOff>102208</xdr:rowOff>
    </xdr:from>
    <xdr:ext cx="0" cy="27940"/>
    <xdr:sp macro="" textlink="">
      <xdr:nvSpPr>
        <xdr:cNvPr id="321" name="Shape 321">
          <a:extLst>
            <a:ext uri="{FF2B5EF4-FFF2-40B4-BE49-F238E27FC236}">
              <a16:creationId xmlns:a16="http://schemas.microsoft.com/office/drawing/2014/main" id="{F0B57D81-B792-4C51-817E-AB58131D3E0E}"/>
            </a:ext>
          </a:extLst>
        </xdr:cNvPr>
        <xdr:cNvSpPr/>
      </xdr:nvSpPr>
      <xdr:spPr>
        <a:xfrm>
          <a:off x="205809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38</xdr:row>
      <xdr:rowOff>102208</xdr:rowOff>
    </xdr:from>
    <xdr:ext cx="0" cy="27940"/>
    <xdr:sp macro="" textlink="">
      <xdr:nvSpPr>
        <xdr:cNvPr id="322" name="Shape 322">
          <a:extLst>
            <a:ext uri="{FF2B5EF4-FFF2-40B4-BE49-F238E27FC236}">
              <a16:creationId xmlns:a16="http://schemas.microsoft.com/office/drawing/2014/main" id="{CD5E14CE-8F4B-456F-9FAC-678B721B63CF}"/>
            </a:ext>
          </a:extLst>
        </xdr:cNvPr>
        <xdr:cNvSpPr/>
      </xdr:nvSpPr>
      <xdr:spPr>
        <a:xfrm>
          <a:off x="320984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38</xdr:row>
      <xdr:rowOff>102208</xdr:rowOff>
    </xdr:from>
    <xdr:ext cx="0" cy="27940"/>
    <xdr:sp macro="" textlink="">
      <xdr:nvSpPr>
        <xdr:cNvPr id="323" name="Shape 323">
          <a:extLst>
            <a:ext uri="{FF2B5EF4-FFF2-40B4-BE49-F238E27FC236}">
              <a16:creationId xmlns:a16="http://schemas.microsoft.com/office/drawing/2014/main" id="{4192A4FF-E172-43DC-A3C7-D0D5BF16CF62}"/>
            </a:ext>
          </a:extLst>
        </xdr:cNvPr>
        <xdr:cNvSpPr/>
      </xdr:nvSpPr>
      <xdr:spPr>
        <a:xfrm>
          <a:off x="473262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38</xdr:row>
      <xdr:rowOff>102208</xdr:rowOff>
    </xdr:from>
    <xdr:ext cx="0" cy="27940"/>
    <xdr:sp macro="" textlink="">
      <xdr:nvSpPr>
        <xdr:cNvPr id="324" name="Shape 324">
          <a:extLst>
            <a:ext uri="{FF2B5EF4-FFF2-40B4-BE49-F238E27FC236}">
              <a16:creationId xmlns:a16="http://schemas.microsoft.com/office/drawing/2014/main" id="{2419ED0F-197F-4A20-94B4-15F6C55049C9}"/>
            </a:ext>
          </a:extLst>
        </xdr:cNvPr>
        <xdr:cNvSpPr/>
      </xdr:nvSpPr>
      <xdr:spPr>
        <a:xfrm>
          <a:off x="1667078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38</xdr:row>
      <xdr:rowOff>102208</xdr:rowOff>
    </xdr:from>
    <xdr:ext cx="0" cy="27940"/>
    <xdr:sp macro="" textlink="">
      <xdr:nvSpPr>
        <xdr:cNvPr id="325" name="Shape 325">
          <a:extLst>
            <a:ext uri="{FF2B5EF4-FFF2-40B4-BE49-F238E27FC236}">
              <a16:creationId xmlns:a16="http://schemas.microsoft.com/office/drawing/2014/main" id="{A624E1F8-EE94-405B-B3E7-3D1C53E4BFBB}"/>
            </a:ext>
          </a:extLst>
        </xdr:cNvPr>
        <xdr:cNvSpPr/>
      </xdr:nvSpPr>
      <xdr:spPr>
        <a:xfrm>
          <a:off x="282077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38</xdr:row>
      <xdr:rowOff>102208</xdr:rowOff>
    </xdr:from>
    <xdr:ext cx="0" cy="27940"/>
    <xdr:sp macro="" textlink="">
      <xdr:nvSpPr>
        <xdr:cNvPr id="326" name="Shape 326">
          <a:extLst>
            <a:ext uri="{FF2B5EF4-FFF2-40B4-BE49-F238E27FC236}">
              <a16:creationId xmlns:a16="http://schemas.microsoft.com/office/drawing/2014/main" id="{00B41A74-4948-403F-A55D-974B1111823E}"/>
            </a:ext>
          </a:extLst>
        </xdr:cNvPr>
        <xdr:cNvSpPr/>
      </xdr:nvSpPr>
      <xdr:spPr>
        <a:xfrm>
          <a:off x="390142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38</xdr:row>
      <xdr:rowOff>102208</xdr:rowOff>
    </xdr:from>
    <xdr:ext cx="0" cy="27940"/>
    <xdr:sp macro="" textlink="">
      <xdr:nvSpPr>
        <xdr:cNvPr id="327" name="Shape 327">
          <a:extLst>
            <a:ext uri="{FF2B5EF4-FFF2-40B4-BE49-F238E27FC236}">
              <a16:creationId xmlns:a16="http://schemas.microsoft.com/office/drawing/2014/main" id="{EAB4AC6B-B957-4AE6-B96F-E9B7FCD8CE28}"/>
            </a:ext>
          </a:extLst>
        </xdr:cNvPr>
        <xdr:cNvSpPr/>
      </xdr:nvSpPr>
      <xdr:spPr>
        <a:xfrm>
          <a:off x="512231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38</xdr:row>
      <xdr:rowOff>102208</xdr:rowOff>
    </xdr:from>
    <xdr:ext cx="0" cy="27940"/>
    <xdr:sp macro="" textlink="">
      <xdr:nvSpPr>
        <xdr:cNvPr id="328" name="Shape 328">
          <a:extLst>
            <a:ext uri="{FF2B5EF4-FFF2-40B4-BE49-F238E27FC236}">
              <a16:creationId xmlns:a16="http://schemas.microsoft.com/office/drawing/2014/main" id="{DD0D2319-22BE-4E29-9515-CC7C6C4DED26}"/>
            </a:ext>
          </a:extLst>
        </xdr:cNvPr>
        <xdr:cNvSpPr/>
      </xdr:nvSpPr>
      <xdr:spPr>
        <a:xfrm>
          <a:off x="1285875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38</xdr:row>
      <xdr:rowOff>102208</xdr:rowOff>
    </xdr:from>
    <xdr:ext cx="0" cy="27940"/>
    <xdr:sp macro="" textlink="">
      <xdr:nvSpPr>
        <xdr:cNvPr id="329" name="Shape 329">
          <a:extLst>
            <a:ext uri="{FF2B5EF4-FFF2-40B4-BE49-F238E27FC236}">
              <a16:creationId xmlns:a16="http://schemas.microsoft.com/office/drawing/2014/main" id="{0F64CE45-1CDD-4D14-90B8-70A7F85663F0}"/>
            </a:ext>
          </a:extLst>
        </xdr:cNvPr>
        <xdr:cNvSpPr/>
      </xdr:nvSpPr>
      <xdr:spPr>
        <a:xfrm>
          <a:off x="2439583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38</xdr:row>
      <xdr:rowOff>102208</xdr:rowOff>
    </xdr:from>
    <xdr:ext cx="0" cy="27940"/>
    <xdr:sp macro="" textlink="">
      <xdr:nvSpPr>
        <xdr:cNvPr id="330" name="Shape 330">
          <a:extLst>
            <a:ext uri="{FF2B5EF4-FFF2-40B4-BE49-F238E27FC236}">
              <a16:creationId xmlns:a16="http://schemas.microsoft.com/office/drawing/2014/main" id="{39D02727-163C-4268-9755-C0A0200E1863}"/>
            </a:ext>
          </a:extLst>
        </xdr:cNvPr>
        <xdr:cNvSpPr/>
      </xdr:nvSpPr>
      <xdr:spPr>
        <a:xfrm>
          <a:off x="358341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38</xdr:row>
      <xdr:rowOff>102208</xdr:rowOff>
    </xdr:from>
    <xdr:ext cx="0" cy="27940"/>
    <xdr:sp macro="" textlink="">
      <xdr:nvSpPr>
        <xdr:cNvPr id="331" name="Shape 331">
          <a:extLst>
            <a:ext uri="{FF2B5EF4-FFF2-40B4-BE49-F238E27FC236}">
              <a16:creationId xmlns:a16="http://schemas.microsoft.com/office/drawing/2014/main" id="{97E0D6C3-84CC-4C50-B988-17EA556DC286}"/>
            </a:ext>
          </a:extLst>
        </xdr:cNvPr>
        <xdr:cNvSpPr/>
      </xdr:nvSpPr>
      <xdr:spPr>
        <a:xfrm>
          <a:off x="4352461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33</xdr:row>
      <xdr:rowOff>101765</xdr:rowOff>
    </xdr:from>
    <xdr:ext cx="0" cy="27940"/>
    <xdr:sp macro="" textlink="">
      <xdr:nvSpPr>
        <xdr:cNvPr id="332" name="Shape 332">
          <a:extLst>
            <a:ext uri="{FF2B5EF4-FFF2-40B4-BE49-F238E27FC236}">
              <a16:creationId xmlns:a16="http://schemas.microsoft.com/office/drawing/2014/main" id="{EA430C7E-15B7-4BDA-8113-224521DC9513}"/>
            </a:ext>
          </a:extLst>
        </xdr:cNvPr>
        <xdr:cNvSpPr/>
      </xdr:nvSpPr>
      <xdr:spPr>
        <a:xfrm>
          <a:off x="205809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33</xdr:row>
      <xdr:rowOff>101765</xdr:rowOff>
    </xdr:from>
    <xdr:ext cx="0" cy="27940"/>
    <xdr:sp macro="" textlink="">
      <xdr:nvSpPr>
        <xdr:cNvPr id="333" name="Shape 333">
          <a:extLst>
            <a:ext uri="{FF2B5EF4-FFF2-40B4-BE49-F238E27FC236}">
              <a16:creationId xmlns:a16="http://schemas.microsoft.com/office/drawing/2014/main" id="{44979E1D-7DA3-4B6B-8422-3C0988BF7E95}"/>
            </a:ext>
          </a:extLst>
        </xdr:cNvPr>
        <xdr:cNvSpPr/>
      </xdr:nvSpPr>
      <xdr:spPr>
        <a:xfrm>
          <a:off x="320984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33</xdr:row>
      <xdr:rowOff>101765</xdr:rowOff>
    </xdr:from>
    <xdr:ext cx="0" cy="27940"/>
    <xdr:sp macro="" textlink="">
      <xdr:nvSpPr>
        <xdr:cNvPr id="334" name="Shape 334">
          <a:extLst>
            <a:ext uri="{FF2B5EF4-FFF2-40B4-BE49-F238E27FC236}">
              <a16:creationId xmlns:a16="http://schemas.microsoft.com/office/drawing/2014/main" id="{5F9A069F-9AEC-44C7-B2BB-182546B36A5E}"/>
            </a:ext>
          </a:extLst>
        </xdr:cNvPr>
        <xdr:cNvSpPr/>
      </xdr:nvSpPr>
      <xdr:spPr>
        <a:xfrm>
          <a:off x="473262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33</xdr:row>
      <xdr:rowOff>101765</xdr:rowOff>
    </xdr:from>
    <xdr:ext cx="0" cy="27940"/>
    <xdr:sp macro="" textlink="">
      <xdr:nvSpPr>
        <xdr:cNvPr id="335" name="Shape 335">
          <a:extLst>
            <a:ext uri="{FF2B5EF4-FFF2-40B4-BE49-F238E27FC236}">
              <a16:creationId xmlns:a16="http://schemas.microsoft.com/office/drawing/2014/main" id="{994E73F7-72DD-497B-9C34-2D56101D2322}"/>
            </a:ext>
          </a:extLst>
        </xdr:cNvPr>
        <xdr:cNvSpPr/>
      </xdr:nvSpPr>
      <xdr:spPr>
        <a:xfrm>
          <a:off x="1667078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33</xdr:row>
      <xdr:rowOff>101765</xdr:rowOff>
    </xdr:from>
    <xdr:ext cx="0" cy="27940"/>
    <xdr:sp macro="" textlink="">
      <xdr:nvSpPr>
        <xdr:cNvPr id="336" name="Shape 336">
          <a:extLst>
            <a:ext uri="{FF2B5EF4-FFF2-40B4-BE49-F238E27FC236}">
              <a16:creationId xmlns:a16="http://schemas.microsoft.com/office/drawing/2014/main" id="{123BE97F-061A-437B-846E-CC2450ED37F4}"/>
            </a:ext>
          </a:extLst>
        </xdr:cNvPr>
        <xdr:cNvSpPr/>
      </xdr:nvSpPr>
      <xdr:spPr>
        <a:xfrm>
          <a:off x="282077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33</xdr:row>
      <xdr:rowOff>101765</xdr:rowOff>
    </xdr:from>
    <xdr:ext cx="0" cy="27940"/>
    <xdr:sp macro="" textlink="">
      <xdr:nvSpPr>
        <xdr:cNvPr id="337" name="Shape 337">
          <a:extLst>
            <a:ext uri="{FF2B5EF4-FFF2-40B4-BE49-F238E27FC236}">
              <a16:creationId xmlns:a16="http://schemas.microsoft.com/office/drawing/2014/main" id="{7FF88394-BD94-4D6E-9821-898D76AF3F98}"/>
            </a:ext>
          </a:extLst>
        </xdr:cNvPr>
        <xdr:cNvSpPr/>
      </xdr:nvSpPr>
      <xdr:spPr>
        <a:xfrm>
          <a:off x="390142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33</xdr:row>
      <xdr:rowOff>101765</xdr:rowOff>
    </xdr:from>
    <xdr:ext cx="0" cy="27940"/>
    <xdr:sp macro="" textlink="">
      <xdr:nvSpPr>
        <xdr:cNvPr id="338" name="Shape 338">
          <a:extLst>
            <a:ext uri="{FF2B5EF4-FFF2-40B4-BE49-F238E27FC236}">
              <a16:creationId xmlns:a16="http://schemas.microsoft.com/office/drawing/2014/main" id="{1E77A175-0104-43BC-BDF2-774304534FB2}"/>
            </a:ext>
          </a:extLst>
        </xdr:cNvPr>
        <xdr:cNvSpPr/>
      </xdr:nvSpPr>
      <xdr:spPr>
        <a:xfrm>
          <a:off x="512231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33</xdr:row>
      <xdr:rowOff>101765</xdr:rowOff>
    </xdr:from>
    <xdr:ext cx="0" cy="27940"/>
    <xdr:sp macro="" textlink="">
      <xdr:nvSpPr>
        <xdr:cNvPr id="339" name="Shape 339">
          <a:extLst>
            <a:ext uri="{FF2B5EF4-FFF2-40B4-BE49-F238E27FC236}">
              <a16:creationId xmlns:a16="http://schemas.microsoft.com/office/drawing/2014/main" id="{A2E8BC7D-43C5-49F7-AFCB-392C4B6EFA15}"/>
            </a:ext>
          </a:extLst>
        </xdr:cNvPr>
        <xdr:cNvSpPr/>
      </xdr:nvSpPr>
      <xdr:spPr>
        <a:xfrm>
          <a:off x="1285875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33</xdr:row>
      <xdr:rowOff>101765</xdr:rowOff>
    </xdr:from>
    <xdr:ext cx="0" cy="27940"/>
    <xdr:sp macro="" textlink="">
      <xdr:nvSpPr>
        <xdr:cNvPr id="340" name="Shape 340">
          <a:extLst>
            <a:ext uri="{FF2B5EF4-FFF2-40B4-BE49-F238E27FC236}">
              <a16:creationId xmlns:a16="http://schemas.microsoft.com/office/drawing/2014/main" id="{4E0DD1C8-92EE-44F8-9FD7-17F43A5DF8C6}"/>
            </a:ext>
          </a:extLst>
        </xdr:cNvPr>
        <xdr:cNvSpPr/>
      </xdr:nvSpPr>
      <xdr:spPr>
        <a:xfrm>
          <a:off x="2439583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33</xdr:row>
      <xdr:rowOff>101765</xdr:rowOff>
    </xdr:from>
    <xdr:ext cx="0" cy="27940"/>
    <xdr:sp macro="" textlink="">
      <xdr:nvSpPr>
        <xdr:cNvPr id="341" name="Shape 341">
          <a:extLst>
            <a:ext uri="{FF2B5EF4-FFF2-40B4-BE49-F238E27FC236}">
              <a16:creationId xmlns:a16="http://schemas.microsoft.com/office/drawing/2014/main" id="{8639D9FA-498B-47DB-B900-8EC64666AE0D}"/>
            </a:ext>
          </a:extLst>
        </xdr:cNvPr>
        <xdr:cNvSpPr/>
      </xdr:nvSpPr>
      <xdr:spPr>
        <a:xfrm>
          <a:off x="358341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33</xdr:row>
      <xdr:rowOff>101765</xdr:rowOff>
    </xdr:from>
    <xdr:ext cx="0" cy="27940"/>
    <xdr:sp macro="" textlink="">
      <xdr:nvSpPr>
        <xdr:cNvPr id="342" name="Shape 342">
          <a:extLst>
            <a:ext uri="{FF2B5EF4-FFF2-40B4-BE49-F238E27FC236}">
              <a16:creationId xmlns:a16="http://schemas.microsoft.com/office/drawing/2014/main" id="{9FBDD24A-B9D8-42CC-AB6D-7FE0200064B1}"/>
            </a:ext>
          </a:extLst>
        </xdr:cNvPr>
        <xdr:cNvSpPr/>
      </xdr:nvSpPr>
      <xdr:spPr>
        <a:xfrm>
          <a:off x="4352461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40</xdr:row>
      <xdr:rowOff>102387</xdr:rowOff>
    </xdr:from>
    <xdr:ext cx="0" cy="27940"/>
    <xdr:sp macro="" textlink="">
      <xdr:nvSpPr>
        <xdr:cNvPr id="343" name="Shape 343">
          <a:extLst>
            <a:ext uri="{FF2B5EF4-FFF2-40B4-BE49-F238E27FC236}">
              <a16:creationId xmlns:a16="http://schemas.microsoft.com/office/drawing/2014/main" id="{10BD400B-DE19-4D6D-AD8C-888D59E0061A}"/>
            </a:ext>
          </a:extLst>
        </xdr:cNvPr>
        <xdr:cNvSpPr/>
      </xdr:nvSpPr>
      <xdr:spPr>
        <a:xfrm>
          <a:off x="205809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40</xdr:row>
      <xdr:rowOff>102387</xdr:rowOff>
    </xdr:from>
    <xdr:ext cx="0" cy="27940"/>
    <xdr:sp macro="" textlink="">
      <xdr:nvSpPr>
        <xdr:cNvPr id="344" name="Shape 344">
          <a:extLst>
            <a:ext uri="{FF2B5EF4-FFF2-40B4-BE49-F238E27FC236}">
              <a16:creationId xmlns:a16="http://schemas.microsoft.com/office/drawing/2014/main" id="{CEF49E44-BCBB-4EE4-B162-9A0049E4DCD2}"/>
            </a:ext>
          </a:extLst>
        </xdr:cNvPr>
        <xdr:cNvSpPr/>
      </xdr:nvSpPr>
      <xdr:spPr>
        <a:xfrm>
          <a:off x="320984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40</xdr:row>
      <xdr:rowOff>102387</xdr:rowOff>
    </xdr:from>
    <xdr:ext cx="0" cy="27940"/>
    <xdr:sp macro="" textlink="">
      <xdr:nvSpPr>
        <xdr:cNvPr id="345" name="Shape 345">
          <a:extLst>
            <a:ext uri="{FF2B5EF4-FFF2-40B4-BE49-F238E27FC236}">
              <a16:creationId xmlns:a16="http://schemas.microsoft.com/office/drawing/2014/main" id="{3A266B21-6F7F-44AD-96EE-582385644E5D}"/>
            </a:ext>
          </a:extLst>
        </xdr:cNvPr>
        <xdr:cNvSpPr/>
      </xdr:nvSpPr>
      <xdr:spPr>
        <a:xfrm>
          <a:off x="473262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40</xdr:row>
      <xdr:rowOff>102387</xdr:rowOff>
    </xdr:from>
    <xdr:ext cx="0" cy="27940"/>
    <xdr:sp macro="" textlink="">
      <xdr:nvSpPr>
        <xdr:cNvPr id="346" name="Shape 346">
          <a:extLst>
            <a:ext uri="{FF2B5EF4-FFF2-40B4-BE49-F238E27FC236}">
              <a16:creationId xmlns:a16="http://schemas.microsoft.com/office/drawing/2014/main" id="{CF53E4D4-7153-4C89-8D6F-D2D38CBB7CBB}"/>
            </a:ext>
          </a:extLst>
        </xdr:cNvPr>
        <xdr:cNvSpPr/>
      </xdr:nvSpPr>
      <xdr:spPr>
        <a:xfrm>
          <a:off x="1667078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40</xdr:row>
      <xdr:rowOff>102387</xdr:rowOff>
    </xdr:from>
    <xdr:ext cx="0" cy="27940"/>
    <xdr:sp macro="" textlink="">
      <xdr:nvSpPr>
        <xdr:cNvPr id="347" name="Shape 347">
          <a:extLst>
            <a:ext uri="{FF2B5EF4-FFF2-40B4-BE49-F238E27FC236}">
              <a16:creationId xmlns:a16="http://schemas.microsoft.com/office/drawing/2014/main" id="{35BEC38A-5C3C-4FF3-8761-847387F01778}"/>
            </a:ext>
          </a:extLst>
        </xdr:cNvPr>
        <xdr:cNvSpPr/>
      </xdr:nvSpPr>
      <xdr:spPr>
        <a:xfrm>
          <a:off x="282077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40</xdr:row>
      <xdr:rowOff>102387</xdr:rowOff>
    </xdr:from>
    <xdr:ext cx="0" cy="27940"/>
    <xdr:sp macro="" textlink="">
      <xdr:nvSpPr>
        <xdr:cNvPr id="348" name="Shape 348">
          <a:extLst>
            <a:ext uri="{FF2B5EF4-FFF2-40B4-BE49-F238E27FC236}">
              <a16:creationId xmlns:a16="http://schemas.microsoft.com/office/drawing/2014/main" id="{5106A21B-6097-443D-A82E-F143782424B2}"/>
            </a:ext>
          </a:extLst>
        </xdr:cNvPr>
        <xdr:cNvSpPr/>
      </xdr:nvSpPr>
      <xdr:spPr>
        <a:xfrm>
          <a:off x="390142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40</xdr:row>
      <xdr:rowOff>102387</xdr:rowOff>
    </xdr:from>
    <xdr:ext cx="0" cy="27940"/>
    <xdr:sp macro="" textlink="">
      <xdr:nvSpPr>
        <xdr:cNvPr id="349" name="Shape 349">
          <a:extLst>
            <a:ext uri="{FF2B5EF4-FFF2-40B4-BE49-F238E27FC236}">
              <a16:creationId xmlns:a16="http://schemas.microsoft.com/office/drawing/2014/main" id="{99484B46-D132-48AF-BB09-56521135D092}"/>
            </a:ext>
          </a:extLst>
        </xdr:cNvPr>
        <xdr:cNvSpPr/>
      </xdr:nvSpPr>
      <xdr:spPr>
        <a:xfrm>
          <a:off x="512231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40</xdr:row>
      <xdr:rowOff>102387</xdr:rowOff>
    </xdr:from>
    <xdr:ext cx="0" cy="27940"/>
    <xdr:sp macro="" textlink="">
      <xdr:nvSpPr>
        <xdr:cNvPr id="350" name="Shape 350">
          <a:extLst>
            <a:ext uri="{FF2B5EF4-FFF2-40B4-BE49-F238E27FC236}">
              <a16:creationId xmlns:a16="http://schemas.microsoft.com/office/drawing/2014/main" id="{BE726F56-751D-4B2C-93FC-565411783858}"/>
            </a:ext>
          </a:extLst>
        </xdr:cNvPr>
        <xdr:cNvSpPr/>
      </xdr:nvSpPr>
      <xdr:spPr>
        <a:xfrm>
          <a:off x="1285875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40</xdr:row>
      <xdr:rowOff>102387</xdr:rowOff>
    </xdr:from>
    <xdr:ext cx="0" cy="27940"/>
    <xdr:sp macro="" textlink="">
      <xdr:nvSpPr>
        <xdr:cNvPr id="351" name="Shape 351">
          <a:extLst>
            <a:ext uri="{FF2B5EF4-FFF2-40B4-BE49-F238E27FC236}">
              <a16:creationId xmlns:a16="http://schemas.microsoft.com/office/drawing/2014/main" id="{3C21B1BA-B4D4-48C0-A044-33860769C9CF}"/>
            </a:ext>
          </a:extLst>
        </xdr:cNvPr>
        <xdr:cNvSpPr/>
      </xdr:nvSpPr>
      <xdr:spPr>
        <a:xfrm>
          <a:off x="2439583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40</xdr:row>
      <xdr:rowOff>102387</xdr:rowOff>
    </xdr:from>
    <xdr:ext cx="0" cy="27940"/>
    <xdr:sp macro="" textlink="">
      <xdr:nvSpPr>
        <xdr:cNvPr id="352" name="Shape 352">
          <a:extLst>
            <a:ext uri="{FF2B5EF4-FFF2-40B4-BE49-F238E27FC236}">
              <a16:creationId xmlns:a16="http://schemas.microsoft.com/office/drawing/2014/main" id="{24827709-27DD-42C7-8B87-35E441C71451}"/>
            </a:ext>
          </a:extLst>
        </xdr:cNvPr>
        <xdr:cNvSpPr/>
      </xdr:nvSpPr>
      <xdr:spPr>
        <a:xfrm>
          <a:off x="358341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40</xdr:row>
      <xdr:rowOff>102387</xdr:rowOff>
    </xdr:from>
    <xdr:ext cx="0" cy="27940"/>
    <xdr:sp macro="" textlink="">
      <xdr:nvSpPr>
        <xdr:cNvPr id="353" name="Shape 353">
          <a:extLst>
            <a:ext uri="{FF2B5EF4-FFF2-40B4-BE49-F238E27FC236}">
              <a16:creationId xmlns:a16="http://schemas.microsoft.com/office/drawing/2014/main" id="{5C8F2991-D5BC-44C2-B505-29C3DFF1FFAF}"/>
            </a:ext>
          </a:extLst>
        </xdr:cNvPr>
        <xdr:cNvSpPr/>
      </xdr:nvSpPr>
      <xdr:spPr>
        <a:xfrm>
          <a:off x="4352461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30</xdr:row>
      <xdr:rowOff>101498</xdr:rowOff>
    </xdr:from>
    <xdr:ext cx="0" cy="27940"/>
    <xdr:sp macro="" textlink="">
      <xdr:nvSpPr>
        <xdr:cNvPr id="354" name="Shape 354">
          <a:extLst>
            <a:ext uri="{FF2B5EF4-FFF2-40B4-BE49-F238E27FC236}">
              <a16:creationId xmlns:a16="http://schemas.microsoft.com/office/drawing/2014/main" id="{718CE8CF-DA23-4752-BD38-888583B7A3A9}"/>
            </a:ext>
          </a:extLst>
        </xdr:cNvPr>
        <xdr:cNvSpPr/>
      </xdr:nvSpPr>
      <xdr:spPr>
        <a:xfrm>
          <a:off x="205809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30</xdr:row>
      <xdr:rowOff>101498</xdr:rowOff>
    </xdr:from>
    <xdr:ext cx="0" cy="27940"/>
    <xdr:sp macro="" textlink="">
      <xdr:nvSpPr>
        <xdr:cNvPr id="355" name="Shape 355">
          <a:extLst>
            <a:ext uri="{FF2B5EF4-FFF2-40B4-BE49-F238E27FC236}">
              <a16:creationId xmlns:a16="http://schemas.microsoft.com/office/drawing/2014/main" id="{51997AFC-A80F-44A8-803C-0AE6AF05F2B4}"/>
            </a:ext>
          </a:extLst>
        </xdr:cNvPr>
        <xdr:cNvSpPr/>
      </xdr:nvSpPr>
      <xdr:spPr>
        <a:xfrm>
          <a:off x="320984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30</xdr:row>
      <xdr:rowOff>101498</xdr:rowOff>
    </xdr:from>
    <xdr:ext cx="0" cy="27940"/>
    <xdr:sp macro="" textlink="">
      <xdr:nvSpPr>
        <xdr:cNvPr id="356" name="Shape 356">
          <a:extLst>
            <a:ext uri="{FF2B5EF4-FFF2-40B4-BE49-F238E27FC236}">
              <a16:creationId xmlns:a16="http://schemas.microsoft.com/office/drawing/2014/main" id="{A0A4D74C-5072-4BCB-9F14-0D8D73D000EE}"/>
            </a:ext>
          </a:extLst>
        </xdr:cNvPr>
        <xdr:cNvSpPr/>
      </xdr:nvSpPr>
      <xdr:spPr>
        <a:xfrm>
          <a:off x="473262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30</xdr:row>
      <xdr:rowOff>101498</xdr:rowOff>
    </xdr:from>
    <xdr:ext cx="0" cy="27940"/>
    <xdr:sp macro="" textlink="">
      <xdr:nvSpPr>
        <xdr:cNvPr id="357" name="Shape 357">
          <a:extLst>
            <a:ext uri="{FF2B5EF4-FFF2-40B4-BE49-F238E27FC236}">
              <a16:creationId xmlns:a16="http://schemas.microsoft.com/office/drawing/2014/main" id="{8A5EAF79-CD32-4096-B029-929B70196B2B}"/>
            </a:ext>
          </a:extLst>
        </xdr:cNvPr>
        <xdr:cNvSpPr/>
      </xdr:nvSpPr>
      <xdr:spPr>
        <a:xfrm>
          <a:off x="1667078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30</xdr:row>
      <xdr:rowOff>101498</xdr:rowOff>
    </xdr:from>
    <xdr:ext cx="0" cy="27940"/>
    <xdr:sp macro="" textlink="">
      <xdr:nvSpPr>
        <xdr:cNvPr id="358" name="Shape 358">
          <a:extLst>
            <a:ext uri="{FF2B5EF4-FFF2-40B4-BE49-F238E27FC236}">
              <a16:creationId xmlns:a16="http://schemas.microsoft.com/office/drawing/2014/main" id="{557BDE91-5925-44AB-BEBF-1DCC4ED1B19B}"/>
            </a:ext>
          </a:extLst>
        </xdr:cNvPr>
        <xdr:cNvSpPr/>
      </xdr:nvSpPr>
      <xdr:spPr>
        <a:xfrm>
          <a:off x="282077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30</xdr:row>
      <xdr:rowOff>101498</xdr:rowOff>
    </xdr:from>
    <xdr:ext cx="0" cy="27940"/>
    <xdr:sp macro="" textlink="">
      <xdr:nvSpPr>
        <xdr:cNvPr id="359" name="Shape 359">
          <a:extLst>
            <a:ext uri="{FF2B5EF4-FFF2-40B4-BE49-F238E27FC236}">
              <a16:creationId xmlns:a16="http://schemas.microsoft.com/office/drawing/2014/main" id="{38B47E06-58C9-4387-9B34-DDC68802507B}"/>
            </a:ext>
          </a:extLst>
        </xdr:cNvPr>
        <xdr:cNvSpPr/>
      </xdr:nvSpPr>
      <xdr:spPr>
        <a:xfrm>
          <a:off x="390142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30</xdr:row>
      <xdr:rowOff>101498</xdr:rowOff>
    </xdr:from>
    <xdr:ext cx="0" cy="27940"/>
    <xdr:sp macro="" textlink="">
      <xdr:nvSpPr>
        <xdr:cNvPr id="360" name="Shape 360">
          <a:extLst>
            <a:ext uri="{FF2B5EF4-FFF2-40B4-BE49-F238E27FC236}">
              <a16:creationId xmlns:a16="http://schemas.microsoft.com/office/drawing/2014/main" id="{24BF01CA-8793-4ECA-B97C-05D03872E07F}"/>
            </a:ext>
          </a:extLst>
        </xdr:cNvPr>
        <xdr:cNvSpPr/>
      </xdr:nvSpPr>
      <xdr:spPr>
        <a:xfrm>
          <a:off x="512231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30</xdr:row>
      <xdr:rowOff>101498</xdr:rowOff>
    </xdr:from>
    <xdr:ext cx="0" cy="27940"/>
    <xdr:sp macro="" textlink="">
      <xdr:nvSpPr>
        <xdr:cNvPr id="361" name="Shape 361">
          <a:extLst>
            <a:ext uri="{FF2B5EF4-FFF2-40B4-BE49-F238E27FC236}">
              <a16:creationId xmlns:a16="http://schemas.microsoft.com/office/drawing/2014/main" id="{9FDE546E-F39F-41C5-B885-24C10C2A8B0D}"/>
            </a:ext>
          </a:extLst>
        </xdr:cNvPr>
        <xdr:cNvSpPr/>
      </xdr:nvSpPr>
      <xdr:spPr>
        <a:xfrm>
          <a:off x="1285875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30</xdr:row>
      <xdr:rowOff>101498</xdr:rowOff>
    </xdr:from>
    <xdr:ext cx="0" cy="27940"/>
    <xdr:sp macro="" textlink="">
      <xdr:nvSpPr>
        <xdr:cNvPr id="362" name="Shape 362">
          <a:extLst>
            <a:ext uri="{FF2B5EF4-FFF2-40B4-BE49-F238E27FC236}">
              <a16:creationId xmlns:a16="http://schemas.microsoft.com/office/drawing/2014/main" id="{1C34CD78-21B3-4D50-995C-E086E7A37963}"/>
            </a:ext>
          </a:extLst>
        </xdr:cNvPr>
        <xdr:cNvSpPr/>
      </xdr:nvSpPr>
      <xdr:spPr>
        <a:xfrm>
          <a:off x="2439583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30</xdr:row>
      <xdr:rowOff>101498</xdr:rowOff>
    </xdr:from>
    <xdr:ext cx="0" cy="27940"/>
    <xdr:sp macro="" textlink="">
      <xdr:nvSpPr>
        <xdr:cNvPr id="363" name="Shape 363">
          <a:extLst>
            <a:ext uri="{FF2B5EF4-FFF2-40B4-BE49-F238E27FC236}">
              <a16:creationId xmlns:a16="http://schemas.microsoft.com/office/drawing/2014/main" id="{40931DE3-11DB-480A-B664-C439CD4577BC}"/>
            </a:ext>
          </a:extLst>
        </xdr:cNvPr>
        <xdr:cNvSpPr/>
      </xdr:nvSpPr>
      <xdr:spPr>
        <a:xfrm>
          <a:off x="358341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30</xdr:row>
      <xdr:rowOff>101498</xdr:rowOff>
    </xdr:from>
    <xdr:ext cx="0" cy="27940"/>
    <xdr:sp macro="" textlink="">
      <xdr:nvSpPr>
        <xdr:cNvPr id="364" name="Shape 364">
          <a:extLst>
            <a:ext uri="{FF2B5EF4-FFF2-40B4-BE49-F238E27FC236}">
              <a16:creationId xmlns:a16="http://schemas.microsoft.com/office/drawing/2014/main" id="{69A89F9C-5216-4D6D-9BD5-BDB69667853E}"/>
            </a:ext>
          </a:extLst>
        </xdr:cNvPr>
        <xdr:cNvSpPr/>
      </xdr:nvSpPr>
      <xdr:spPr>
        <a:xfrm>
          <a:off x="4352461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32</xdr:row>
      <xdr:rowOff>101677</xdr:rowOff>
    </xdr:from>
    <xdr:ext cx="0" cy="27940"/>
    <xdr:sp macro="" textlink="">
      <xdr:nvSpPr>
        <xdr:cNvPr id="365" name="Shape 365">
          <a:extLst>
            <a:ext uri="{FF2B5EF4-FFF2-40B4-BE49-F238E27FC236}">
              <a16:creationId xmlns:a16="http://schemas.microsoft.com/office/drawing/2014/main" id="{5A95C443-F84D-43B2-86C2-0D0686060B89}"/>
            </a:ext>
          </a:extLst>
        </xdr:cNvPr>
        <xdr:cNvSpPr/>
      </xdr:nvSpPr>
      <xdr:spPr>
        <a:xfrm>
          <a:off x="205809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32</xdr:row>
      <xdr:rowOff>101677</xdr:rowOff>
    </xdr:from>
    <xdr:ext cx="0" cy="27940"/>
    <xdr:sp macro="" textlink="">
      <xdr:nvSpPr>
        <xdr:cNvPr id="366" name="Shape 366">
          <a:extLst>
            <a:ext uri="{FF2B5EF4-FFF2-40B4-BE49-F238E27FC236}">
              <a16:creationId xmlns:a16="http://schemas.microsoft.com/office/drawing/2014/main" id="{A8C7FED7-5E82-4A5A-8D66-D85FCF6D2454}"/>
            </a:ext>
          </a:extLst>
        </xdr:cNvPr>
        <xdr:cNvSpPr/>
      </xdr:nvSpPr>
      <xdr:spPr>
        <a:xfrm>
          <a:off x="320984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32</xdr:row>
      <xdr:rowOff>101677</xdr:rowOff>
    </xdr:from>
    <xdr:ext cx="0" cy="27940"/>
    <xdr:sp macro="" textlink="">
      <xdr:nvSpPr>
        <xdr:cNvPr id="367" name="Shape 367">
          <a:extLst>
            <a:ext uri="{FF2B5EF4-FFF2-40B4-BE49-F238E27FC236}">
              <a16:creationId xmlns:a16="http://schemas.microsoft.com/office/drawing/2014/main" id="{2ACF9EB8-53CC-43B4-BDD2-D793AD11784D}"/>
            </a:ext>
          </a:extLst>
        </xdr:cNvPr>
        <xdr:cNvSpPr/>
      </xdr:nvSpPr>
      <xdr:spPr>
        <a:xfrm>
          <a:off x="473262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32</xdr:row>
      <xdr:rowOff>101677</xdr:rowOff>
    </xdr:from>
    <xdr:ext cx="0" cy="27940"/>
    <xdr:sp macro="" textlink="">
      <xdr:nvSpPr>
        <xdr:cNvPr id="368" name="Shape 368">
          <a:extLst>
            <a:ext uri="{FF2B5EF4-FFF2-40B4-BE49-F238E27FC236}">
              <a16:creationId xmlns:a16="http://schemas.microsoft.com/office/drawing/2014/main" id="{70AA4FAD-6FCE-4978-A1EF-58F058E0B7F5}"/>
            </a:ext>
          </a:extLst>
        </xdr:cNvPr>
        <xdr:cNvSpPr/>
      </xdr:nvSpPr>
      <xdr:spPr>
        <a:xfrm>
          <a:off x="1667078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32</xdr:row>
      <xdr:rowOff>101677</xdr:rowOff>
    </xdr:from>
    <xdr:ext cx="0" cy="27940"/>
    <xdr:sp macro="" textlink="">
      <xdr:nvSpPr>
        <xdr:cNvPr id="369" name="Shape 369">
          <a:extLst>
            <a:ext uri="{FF2B5EF4-FFF2-40B4-BE49-F238E27FC236}">
              <a16:creationId xmlns:a16="http://schemas.microsoft.com/office/drawing/2014/main" id="{52056076-8D83-4FD7-A630-07A0A4618CF4}"/>
            </a:ext>
          </a:extLst>
        </xdr:cNvPr>
        <xdr:cNvSpPr/>
      </xdr:nvSpPr>
      <xdr:spPr>
        <a:xfrm>
          <a:off x="282077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32</xdr:row>
      <xdr:rowOff>101677</xdr:rowOff>
    </xdr:from>
    <xdr:ext cx="0" cy="27940"/>
    <xdr:sp macro="" textlink="">
      <xdr:nvSpPr>
        <xdr:cNvPr id="370" name="Shape 370">
          <a:extLst>
            <a:ext uri="{FF2B5EF4-FFF2-40B4-BE49-F238E27FC236}">
              <a16:creationId xmlns:a16="http://schemas.microsoft.com/office/drawing/2014/main" id="{4E9B6F1A-7411-4ECB-A689-F2968708742F}"/>
            </a:ext>
          </a:extLst>
        </xdr:cNvPr>
        <xdr:cNvSpPr/>
      </xdr:nvSpPr>
      <xdr:spPr>
        <a:xfrm>
          <a:off x="390142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32</xdr:row>
      <xdr:rowOff>101677</xdr:rowOff>
    </xdr:from>
    <xdr:ext cx="0" cy="27940"/>
    <xdr:sp macro="" textlink="">
      <xdr:nvSpPr>
        <xdr:cNvPr id="371" name="Shape 371">
          <a:extLst>
            <a:ext uri="{FF2B5EF4-FFF2-40B4-BE49-F238E27FC236}">
              <a16:creationId xmlns:a16="http://schemas.microsoft.com/office/drawing/2014/main" id="{2413ADB7-8352-4F11-ABE1-F8D6B362C19A}"/>
            </a:ext>
          </a:extLst>
        </xdr:cNvPr>
        <xdr:cNvSpPr/>
      </xdr:nvSpPr>
      <xdr:spPr>
        <a:xfrm>
          <a:off x="512231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32</xdr:row>
      <xdr:rowOff>101677</xdr:rowOff>
    </xdr:from>
    <xdr:ext cx="0" cy="27940"/>
    <xdr:sp macro="" textlink="">
      <xdr:nvSpPr>
        <xdr:cNvPr id="372" name="Shape 372">
          <a:extLst>
            <a:ext uri="{FF2B5EF4-FFF2-40B4-BE49-F238E27FC236}">
              <a16:creationId xmlns:a16="http://schemas.microsoft.com/office/drawing/2014/main" id="{84EE09AF-5FFB-40C8-98B1-F4EB95EDDF7D}"/>
            </a:ext>
          </a:extLst>
        </xdr:cNvPr>
        <xdr:cNvSpPr/>
      </xdr:nvSpPr>
      <xdr:spPr>
        <a:xfrm>
          <a:off x="1285875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32</xdr:row>
      <xdr:rowOff>101677</xdr:rowOff>
    </xdr:from>
    <xdr:ext cx="0" cy="27940"/>
    <xdr:sp macro="" textlink="">
      <xdr:nvSpPr>
        <xdr:cNvPr id="373" name="Shape 373">
          <a:extLst>
            <a:ext uri="{FF2B5EF4-FFF2-40B4-BE49-F238E27FC236}">
              <a16:creationId xmlns:a16="http://schemas.microsoft.com/office/drawing/2014/main" id="{51CED1A6-2565-46AB-B205-98D734C57652}"/>
            </a:ext>
          </a:extLst>
        </xdr:cNvPr>
        <xdr:cNvSpPr/>
      </xdr:nvSpPr>
      <xdr:spPr>
        <a:xfrm>
          <a:off x="2439583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32</xdr:row>
      <xdr:rowOff>101677</xdr:rowOff>
    </xdr:from>
    <xdr:ext cx="0" cy="27940"/>
    <xdr:sp macro="" textlink="">
      <xdr:nvSpPr>
        <xdr:cNvPr id="374" name="Shape 374">
          <a:extLst>
            <a:ext uri="{FF2B5EF4-FFF2-40B4-BE49-F238E27FC236}">
              <a16:creationId xmlns:a16="http://schemas.microsoft.com/office/drawing/2014/main" id="{8279DD4E-CE21-411D-B00C-9023AF9F2649}"/>
            </a:ext>
          </a:extLst>
        </xdr:cNvPr>
        <xdr:cNvSpPr/>
      </xdr:nvSpPr>
      <xdr:spPr>
        <a:xfrm>
          <a:off x="358341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32</xdr:row>
      <xdr:rowOff>101677</xdr:rowOff>
    </xdr:from>
    <xdr:ext cx="0" cy="27940"/>
    <xdr:sp macro="" textlink="">
      <xdr:nvSpPr>
        <xdr:cNvPr id="375" name="Shape 375">
          <a:extLst>
            <a:ext uri="{FF2B5EF4-FFF2-40B4-BE49-F238E27FC236}">
              <a16:creationId xmlns:a16="http://schemas.microsoft.com/office/drawing/2014/main" id="{1A138CC2-B0E2-49EC-B952-E51996980D58}"/>
            </a:ext>
          </a:extLst>
        </xdr:cNvPr>
        <xdr:cNvSpPr/>
      </xdr:nvSpPr>
      <xdr:spPr>
        <a:xfrm>
          <a:off x="4352461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31</xdr:row>
      <xdr:rowOff>101587</xdr:rowOff>
    </xdr:from>
    <xdr:ext cx="0" cy="27940"/>
    <xdr:sp macro="" textlink="">
      <xdr:nvSpPr>
        <xdr:cNvPr id="376" name="Shape 376">
          <a:extLst>
            <a:ext uri="{FF2B5EF4-FFF2-40B4-BE49-F238E27FC236}">
              <a16:creationId xmlns:a16="http://schemas.microsoft.com/office/drawing/2014/main" id="{D3340F05-36B0-44D8-8FB9-5E98480EB5E1}"/>
            </a:ext>
          </a:extLst>
        </xdr:cNvPr>
        <xdr:cNvSpPr/>
      </xdr:nvSpPr>
      <xdr:spPr>
        <a:xfrm>
          <a:off x="205809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31</xdr:row>
      <xdr:rowOff>101587</xdr:rowOff>
    </xdr:from>
    <xdr:ext cx="0" cy="27940"/>
    <xdr:sp macro="" textlink="">
      <xdr:nvSpPr>
        <xdr:cNvPr id="377" name="Shape 377">
          <a:extLst>
            <a:ext uri="{FF2B5EF4-FFF2-40B4-BE49-F238E27FC236}">
              <a16:creationId xmlns:a16="http://schemas.microsoft.com/office/drawing/2014/main" id="{411AD7A4-29A4-443F-8D4B-1481201F4902}"/>
            </a:ext>
          </a:extLst>
        </xdr:cNvPr>
        <xdr:cNvSpPr/>
      </xdr:nvSpPr>
      <xdr:spPr>
        <a:xfrm>
          <a:off x="320984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31</xdr:row>
      <xdr:rowOff>101587</xdr:rowOff>
    </xdr:from>
    <xdr:ext cx="0" cy="27940"/>
    <xdr:sp macro="" textlink="">
      <xdr:nvSpPr>
        <xdr:cNvPr id="378" name="Shape 378">
          <a:extLst>
            <a:ext uri="{FF2B5EF4-FFF2-40B4-BE49-F238E27FC236}">
              <a16:creationId xmlns:a16="http://schemas.microsoft.com/office/drawing/2014/main" id="{65B43561-9AD7-4F85-AE40-D7279FB70427}"/>
            </a:ext>
          </a:extLst>
        </xdr:cNvPr>
        <xdr:cNvSpPr/>
      </xdr:nvSpPr>
      <xdr:spPr>
        <a:xfrm>
          <a:off x="473262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31</xdr:row>
      <xdr:rowOff>101587</xdr:rowOff>
    </xdr:from>
    <xdr:ext cx="0" cy="27940"/>
    <xdr:sp macro="" textlink="">
      <xdr:nvSpPr>
        <xdr:cNvPr id="379" name="Shape 379">
          <a:extLst>
            <a:ext uri="{FF2B5EF4-FFF2-40B4-BE49-F238E27FC236}">
              <a16:creationId xmlns:a16="http://schemas.microsoft.com/office/drawing/2014/main" id="{137065AF-3D11-4B2A-AE29-FFD8ABD756FF}"/>
            </a:ext>
          </a:extLst>
        </xdr:cNvPr>
        <xdr:cNvSpPr/>
      </xdr:nvSpPr>
      <xdr:spPr>
        <a:xfrm>
          <a:off x="1667078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31</xdr:row>
      <xdr:rowOff>101587</xdr:rowOff>
    </xdr:from>
    <xdr:ext cx="0" cy="27940"/>
    <xdr:sp macro="" textlink="">
      <xdr:nvSpPr>
        <xdr:cNvPr id="380" name="Shape 380">
          <a:extLst>
            <a:ext uri="{FF2B5EF4-FFF2-40B4-BE49-F238E27FC236}">
              <a16:creationId xmlns:a16="http://schemas.microsoft.com/office/drawing/2014/main" id="{69E0B012-5CFC-46C8-83ED-9736A14D1C8A}"/>
            </a:ext>
          </a:extLst>
        </xdr:cNvPr>
        <xdr:cNvSpPr/>
      </xdr:nvSpPr>
      <xdr:spPr>
        <a:xfrm>
          <a:off x="282077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31</xdr:row>
      <xdr:rowOff>101587</xdr:rowOff>
    </xdr:from>
    <xdr:ext cx="0" cy="27940"/>
    <xdr:sp macro="" textlink="">
      <xdr:nvSpPr>
        <xdr:cNvPr id="381" name="Shape 381">
          <a:extLst>
            <a:ext uri="{FF2B5EF4-FFF2-40B4-BE49-F238E27FC236}">
              <a16:creationId xmlns:a16="http://schemas.microsoft.com/office/drawing/2014/main" id="{6B668C23-407A-44B1-A637-7D8C5667B4CC}"/>
            </a:ext>
          </a:extLst>
        </xdr:cNvPr>
        <xdr:cNvSpPr/>
      </xdr:nvSpPr>
      <xdr:spPr>
        <a:xfrm>
          <a:off x="390142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31</xdr:row>
      <xdr:rowOff>101587</xdr:rowOff>
    </xdr:from>
    <xdr:ext cx="0" cy="27940"/>
    <xdr:sp macro="" textlink="">
      <xdr:nvSpPr>
        <xdr:cNvPr id="382" name="Shape 382">
          <a:extLst>
            <a:ext uri="{FF2B5EF4-FFF2-40B4-BE49-F238E27FC236}">
              <a16:creationId xmlns:a16="http://schemas.microsoft.com/office/drawing/2014/main" id="{CD4379F8-C5A9-4DC4-B7B0-904FF53CE66C}"/>
            </a:ext>
          </a:extLst>
        </xdr:cNvPr>
        <xdr:cNvSpPr/>
      </xdr:nvSpPr>
      <xdr:spPr>
        <a:xfrm>
          <a:off x="512231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31</xdr:row>
      <xdr:rowOff>101587</xdr:rowOff>
    </xdr:from>
    <xdr:ext cx="0" cy="27940"/>
    <xdr:sp macro="" textlink="">
      <xdr:nvSpPr>
        <xdr:cNvPr id="383" name="Shape 383">
          <a:extLst>
            <a:ext uri="{FF2B5EF4-FFF2-40B4-BE49-F238E27FC236}">
              <a16:creationId xmlns:a16="http://schemas.microsoft.com/office/drawing/2014/main" id="{57ADE018-8D1D-4E11-880D-D47863FDA346}"/>
            </a:ext>
          </a:extLst>
        </xdr:cNvPr>
        <xdr:cNvSpPr/>
      </xdr:nvSpPr>
      <xdr:spPr>
        <a:xfrm>
          <a:off x="1285875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31</xdr:row>
      <xdr:rowOff>101587</xdr:rowOff>
    </xdr:from>
    <xdr:ext cx="0" cy="27940"/>
    <xdr:sp macro="" textlink="">
      <xdr:nvSpPr>
        <xdr:cNvPr id="384" name="Shape 384">
          <a:extLst>
            <a:ext uri="{FF2B5EF4-FFF2-40B4-BE49-F238E27FC236}">
              <a16:creationId xmlns:a16="http://schemas.microsoft.com/office/drawing/2014/main" id="{670BF1FE-1BB2-4E61-8F7D-2A5D4F288016}"/>
            </a:ext>
          </a:extLst>
        </xdr:cNvPr>
        <xdr:cNvSpPr/>
      </xdr:nvSpPr>
      <xdr:spPr>
        <a:xfrm>
          <a:off x="2439583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31</xdr:row>
      <xdr:rowOff>101587</xdr:rowOff>
    </xdr:from>
    <xdr:ext cx="0" cy="27940"/>
    <xdr:sp macro="" textlink="">
      <xdr:nvSpPr>
        <xdr:cNvPr id="385" name="Shape 385">
          <a:extLst>
            <a:ext uri="{FF2B5EF4-FFF2-40B4-BE49-F238E27FC236}">
              <a16:creationId xmlns:a16="http://schemas.microsoft.com/office/drawing/2014/main" id="{75659160-0399-4F2D-8B58-BAE7094BF55C}"/>
            </a:ext>
          </a:extLst>
        </xdr:cNvPr>
        <xdr:cNvSpPr/>
      </xdr:nvSpPr>
      <xdr:spPr>
        <a:xfrm>
          <a:off x="358341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31</xdr:row>
      <xdr:rowOff>101587</xdr:rowOff>
    </xdr:from>
    <xdr:ext cx="0" cy="27940"/>
    <xdr:sp macro="" textlink="">
      <xdr:nvSpPr>
        <xdr:cNvPr id="386" name="Shape 386">
          <a:extLst>
            <a:ext uri="{FF2B5EF4-FFF2-40B4-BE49-F238E27FC236}">
              <a16:creationId xmlns:a16="http://schemas.microsoft.com/office/drawing/2014/main" id="{DB5A8101-6439-4D1B-B986-FC2B0AA8F09C}"/>
            </a:ext>
          </a:extLst>
        </xdr:cNvPr>
        <xdr:cNvSpPr/>
      </xdr:nvSpPr>
      <xdr:spPr>
        <a:xfrm>
          <a:off x="4352461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36</xdr:row>
      <xdr:rowOff>102030</xdr:rowOff>
    </xdr:from>
    <xdr:ext cx="0" cy="27940"/>
    <xdr:sp macro="" textlink="">
      <xdr:nvSpPr>
        <xdr:cNvPr id="387" name="Shape 387">
          <a:extLst>
            <a:ext uri="{FF2B5EF4-FFF2-40B4-BE49-F238E27FC236}">
              <a16:creationId xmlns:a16="http://schemas.microsoft.com/office/drawing/2014/main" id="{952EB6E1-CC0A-4DBB-9A3D-992DD5B3E3DA}"/>
            </a:ext>
          </a:extLst>
        </xdr:cNvPr>
        <xdr:cNvSpPr/>
      </xdr:nvSpPr>
      <xdr:spPr>
        <a:xfrm>
          <a:off x="205809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36</xdr:row>
      <xdr:rowOff>102030</xdr:rowOff>
    </xdr:from>
    <xdr:ext cx="0" cy="27940"/>
    <xdr:sp macro="" textlink="">
      <xdr:nvSpPr>
        <xdr:cNvPr id="388" name="Shape 388">
          <a:extLst>
            <a:ext uri="{FF2B5EF4-FFF2-40B4-BE49-F238E27FC236}">
              <a16:creationId xmlns:a16="http://schemas.microsoft.com/office/drawing/2014/main" id="{F4AA1C6F-5E9B-4987-83BE-FED560053DE1}"/>
            </a:ext>
          </a:extLst>
        </xdr:cNvPr>
        <xdr:cNvSpPr/>
      </xdr:nvSpPr>
      <xdr:spPr>
        <a:xfrm>
          <a:off x="320984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36</xdr:row>
      <xdr:rowOff>102030</xdr:rowOff>
    </xdr:from>
    <xdr:ext cx="0" cy="27940"/>
    <xdr:sp macro="" textlink="">
      <xdr:nvSpPr>
        <xdr:cNvPr id="389" name="Shape 389">
          <a:extLst>
            <a:ext uri="{FF2B5EF4-FFF2-40B4-BE49-F238E27FC236}">
              <a16:creationId xmlns:a16="http://schemas.microsoft.com/office/drawing/2014/main" id="{B7D60179-1E20-4657-AEA8-5C3E2FB82345}"/>
            </a:ext>
          </a:extLst>
        </xdr:cNvPr>
        <xdr:cNvSpPr/>
      </xdr:nvSpPr>
      <xdr:spPr>
        <a:xfrm>
          <a:off x="473262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36</xdr:row>
      <xdr:rowOff>102030</xdr:rowOff>
    </xdr:from>
    <xdr:ext cx="0" cy="27940"/>
    <xdr:sp macro="" textlink="">
      <xdr:nvSpPr>
        <xdr:cNvPr id="390" name="Shape 390">
          <a:extLst>
            <a:ext uri="{FF2B5EF4-FFF2-40B4-BE49-F238E27FC236}">
              <a16:creationId xmlns:a16="http://schemas.microsoft.com/office/drawing/2014/main" id="{57C39DEE-490A-4FBE-9109-753F05E8E83D}"/>
            </a:ext>
          </a:extLst>
        </xdr:cNvPr>
        <xdr:cNvSpPr/>
      </xdr:nvSpPr>
      <xdr:spPr>
        <a:xfrm>
          <a:off x="1667078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36</xdr:row>
      <xdr:rowOff>102030</xdr:rowOff>
    </xdr:from>
    <xdr:ext cx="0" cy="27940"/>
    <xdr:sp macro="" textlink="">
      <xdr:nvSpPr>
        <xdr:cNvPr id="391" name="Shape 391">
          <a:extLst>
            <a:ext uri="{FF2B5EF4-FFF2-40B4-BE49-F238E27FC236}">
              <a16:creationId xmlns:a16="http://schemas.microsoft.com/office/drawing/2014/main" id="{C0F800AD-3D07-4227-828B-0A034E3B98A9}"/>
            </a:ext>
          </a:extLst>
        </xdr:cNvPr>
        <xdr:cNvSpPr/>
      </xdr:nvSpPr>
      <xdr:spPr>
        <a:xfrm>
          <a:off x="282077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36</xdr:row>
      <xdr:rowOff>102030</xdr:rowOff>
    </xdr:from>
    <xdr:ext cx="0" cy="27940"/>
    <xdr:sp macro="" textlink="">
      <xdr:nvSpPr>
        <xdr:cNvPr id="392" name="Shape 392">
          <a:extLst>
            <a:ext uri="{FF2B5EF4-FFF2-40B4-BE49-F238E27FC236}">
              <a16:creationId xmlns:a16="http://schemas.microsoft.com/office/drawing/2014/main" id="{BE19A9E2-49AA-465A-841D-AC9F853D96A6}"/>
            </a:ext>
          </a:extLst>
        </xdr:cNvPr>
        <xdr:cNvSpPr/>
      </xdr:nvSpPr>
      <xdr:spPr>
        <a:xfrm>
          <a:off x="390142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36</xdr:row>
      <xdr:rowOff>102030</xdr:rowOff>
    </xdr:from>
    <xdr:ext cx="0" cy="27940"/>
    <xdr:sp macro="" textlink="">
      <xdr:nvSpPr>
        <xdr:cNvPr id="393" name="Shape 393">
          <a:extLst>
            <a:ext uri="{FF2B5EF4-FFF2-40B4-BE49-F238E27FC236}">
              <a16:creationId xmlns:a16="http://schemas.microsoft.com/office/drawing/2014/main" id="{3C664D3D-AE85-4C67-AC48-3BE7B5FA5395}"/>
            </a:ext>
          </a:extLst>
        </xdr:cNvPr>
        <xdr:cNvSpPr/>
      </xdr:nvSpPr>
      <xdr:spPr>
        <a:xfrm>
          <a:off x="512231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36</xdr:row>
      <xdr:rowOff>102030</xdr:rowOff>
    </xdr:from>
    <xdr:ext cx="0" cy="27940"/>
    <xdr:sp macro="" textlink="">
      <xdr:nvSpPr>
        <xdr:cNvPr id="394" name="Shape 394">
          <a:extLst>
            <a:ext uri="{FF2B5EF4-FFF2-40B4-BE49-F238E27FC236}">
              <a16:creationId xmlns:a16="http://schemas.microsoft.com/office/drawing/2014/main" id="{BEC9F88E-F68C-4C3A-8492-AA7A4145A006}"/>
            </a:ext>
          </a:extLst>
        </xdr:cNvPr>
        <xdr:cNvSpPr/>
      </xdr:nvSpPr>
      <xdr:spPr>
        <a:xfrm>
          <a:off x="374959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36</xdr:row>
      <xdr:rowOff>102030</xdr:rowOff>
    </xdr:from>
    <xdr:ext cx="0" cy="27940"/>
    <xdr:sp macro="" textlink="">
      <xdr:nvSpPr>
        <xdr:cNvPr id="395" name="Shape 395">
          <a:extLst>
            <a:ext uri="{FF2B5EF4-FFF2-40B4-BE49-F238E27FC236}">
              <a16:creationId xmlns:a16="http://schemas.microsoft.com/office/drawing/2014/main" id="{4A995154-084B-4884-87DC-9A3E148C1BA2}"/>
            </a:ext>
          </a:extLst>
        </xdr:cNvPr>
        <xdr:cNvSpPr/>
      </xdr:nvSpPr>
      <xdr:spPr>
        <a:xfrm>
          <a:off x="2439583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36</xdr:row>
      <xdr:rowOff>102030</xdr:rowOff>
    </xdr:from>
    <xdr:ext cx="0" cy="27940"/>
    <xdr:sp macro="" textlink="">
      <xdr:nvSpPr>
        <xdr:cNvPr id="396" name="Shape 396">
          <a:extLst>
            <a:ext uri="{FF2B5EF4-FFF2-40B4-BE49-F238E27FC236}">
              <a16:creationId xmlns:a16="http://schemas.microsoft.com/office/drawing/2014/main" id="{F8931680-A88E-4367-81BD-3FF5BF6754DC}"/>
            </a:ext>
          </a:extLst>
        </xdr:cNvPr>
        <xdr:cNvSpPr/>
      </xdr:nvSpPr>
      <xdr:spPr>
        <a:xfrm>
          <a:off x="358341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36</xdr:row>
      <xdr:rowOff>102030</xdr:rowOff>
    </xdr:from>
    <xdr:ext cx="0" cy="27940"/>
    <xdr:sp macro="" textlink="">
      <xdr:nvSpPr>
        <xdr:cNvPr id="397" name="Shape 397">
          <a:extLst>
            <a:ext uri="{FF2B5EF4-FFF2-40B4-BE49-F238E27FC236}">
              <a16:creationId xmlns:a16="http://schemas.microsoft.com/office/drawing/2014/main" id="{2F061E89-1A7D-4E2F-A018-BD66EB402647}"/>
            </a:ext>
          </a:extLst>
        </xdr:cNvPr>
        <xdr:cNvSpPr/>
      </xdr:nvSpPr>
      <xdr:spPr>
        <a:xfrm>
          <a:off x="4352461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37</xdr:row>
      <xdr:rowOff>102120</xdr:rowOff>
    </xdr:from>
    <xdr:ext cx="0" cy="27940"/>
    <xdr:sp macro="" textlink="">
      <xdr:nvSpPr>
        <xdr:cNvPr id="398" name="Shape 398">
          <a:extLst>
            <a:ext uri="{FF2B5EF4-FFF2-40B4-BE49-F238E27FC236}">
              <a16:creationId xmlns:a16="http://schemas.microsoft.com/office/drawing/2014/main" id="{540A18A9-A95F-4B39-871B-0C4E7EBEB261}"/>
            </a:ext>
          </a:extLst>
        </xdr:cNvPr>
        <xdr:cNvSpPr/>
      </xdr:nvSpPr>
      <xdr:spPr>
        <a:xfrm>
          <a:off x="205809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37</xdr:row>
      <xdr:rowOff>102120</xdr:rowOff>
    </xdr:from>
    <xdr:ext cx="0" cy="27940"/>
    <xdr:sp macro="" textlink="">
      <xdr:nvSpPr>
        <xdr:cNvPr id="399" name="Shape 399">
          <a:extLst>
            <a:ext uri="{FF2B5EF4-FFF2-40B4-BE49-F238E27FC236}">
              <a16:creationId xmlns:a16="http://schemas.microsoft.com/office/drawing/2014/main" id="{545676BD-4F36-468F-BF60-A44F2B5DE218}"/>
            </a:ext>
          </a:extLst>
        </xdr:cNvPr>
        <xdr:cNvSpPr/>
      </xdr:nvSpPr>
      <xdr:spPr>
        <a:xfrm>
          <a:off x="320984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37</xdr:row>
      <xdr:rowOff>102120</xdr:rowOff>
    </xdr:from>
    <xdr:ext cx="0" cy="27940"/>
    <xdr:sp macro="" textlink="">
      <xdr:nvSpPr>
        <xdr:cNvPr id="400" name="Shape 400">
          <a:extLst>
            <a:ext uri="{FF2B5EF4-FFF2-40B4-BE49-F238E27FC236}">
              <a16:creationId xmlns:a16="http://schemas.microsoft.com/office/drawing/2014/main" id="{70C03B44-058F-491D-BE87-47DCBD3DA77D}"/>
            </a:ext>
          </a:extLst>
        </xdr:cNvPr>
        <xdr:cNvSpPr/>
      </xdr:nvSpPr>
      <xdr:spPr>
        <a:xfrm>
          <a:off x="473262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37</xdr:row>
      <xdr:rowOff>102120</xdr:rowOff>
    </xdr:from>
    <xdr:ext cx="0" cy="27940"/>
    <xdr:sp macro="" textlink="">
      <xdr:nvSpPr>
        <xdr:cNvPr id="401" name="Shape 401">
          <a:extLst>
            <a:ext uri="{FF2B5EF4-FFF2-40B4-BE49-F238E27FC236}">
              <a16:creationId xmlns:a16="http://schemas.microsoft.com/office/drawing/2014/main" id="{D8BAAC00-7531-4D01-B63A-BC20114FF7A5}"/>
            </a:ext>
          </a:extLst>
        </xdr:cNvPr>
        <xdr:cNvSpPr/>
      </xdr:nvSpPr>
      <xdr:spPr>
        <a:xfrm>
          <a:off x="1667078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37</xdr:row>
      <xdr:rowOff>102120</xdr:rowOff>
    </xdr:from>
    <xdr:ext cx="0" cy="27940"/>
    <xdr:sp macro="" textlink="">
      <xdr:nvSpPr>
        <xdr:cNvPr id="402" name="Shape 402">
          <a:extLst>
            <a:ext uri="{FF2B5EF4-FFF2-40B4-BE49-F238E27FC236}">
              <a16:creationId xmlns:a16="http://schemas.microsoft.com/office/drawing/2014/main" id="{0E795B89-C078-416E-A2AA-72BC79B22242}"/>
            </a:ext>
          </a:extLst>
        </xdr:cNvPr>
        <xdr:cNvSpPr/>
      </xdr:nvSpPr>
      <xdr:spPr>
        <a:xfrm>
          <a:off x="282077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37</xdr:row>
      <xdr:rowOff>102120</xdr:rowOff>
    </xdr:from>
    <xdr:ext cx="0" cy="27940"/>
    <xdr:sp macro="" textlink="">
      <xdr:nvSpPr>
        <xdr:cNvPr id="403" name="Shape 403">
          <a:extLst>
            <a:ext uri="{FF2B5EF4-FFF2-40B4-BE49-F238E27FC236}">
              <a16:creationId xmlns:a16="http://schemas.microsoft.com/office/drawing/2014/main" id="{43FADF4A-2846-41C4-BBE8-3B4ECADD9173}"/>
            </a:ext>
          </a:extLst>
        </xdr:cNvPr>
        <xdr:cNvSpPr/>
      </xdr:nvSpPr>
      <xdr:spPr>
        <a:xfrm>
          <a:off x="390142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37</xdr:row>
      <xdr:rowOff>102120</xdr:rowOff>
    </xdr:from>
    <xdr:ext cx="0" cy="27940"/>
    <xdr:sp macro="" textlink="">
      <xdr:nvSpPr>
        <xdr:cNvPr id="404" name="Shape 404">
          <a:extLst>
            <a:ext uri="{FF2B5EF4-FFF2-40B4-BE49-F238E27FC236}">
              <a16:creationId xmlns:a16="http://schemas.microsoft.com/office/drawing/2014/main" id="{E929C965-46FE-4ABA-80F0-5130D15B65BD}"/>
            </a:ext>
          </a:extLst>
        </xdr:cNvPr>
        <xdr:cNvSpPr/>
      </xdr:nvSpPr>
      <xdr:spPr>
        <a:xfrm>
          <a:off x="512231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374959</xdr:colOff>
      <xdr:row>37</xdr:row>
      <xdr:rowOff>102120</xdr:rowOff>
    </xdr:from>
    <xdr:ext cx="0" cy="27940"/>
    <xdr:sp macro="" textlink="">
      <xdr:nvSpPr>
        <xdr:cNvPr id="405" name="Shape 405">
          <a:extLst>
            <a:ext uri="{FF2B5EF4-FFF2-40B4-BE49-F238E27FC236}">
              <a16:creationId xmlns:a16="http://schemas.microsoft.com/office/drawing/2014/main" id="{38A606FE-99BD-40F7-94B5-817BEFB7ADB5}"/>
            </a:ext>
          </a:extLst>
        </xdr:cNvPr>
        <xdr:cNvSpPr/>
      </xdr:nvSpPr>
      <xdr:spPr>
        <a:xfrm>
          <a:off x="374959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37</xdr:row>
      <xdr:rowOff>102120</xdr:rowOff>
    </xdr:from>
    <xdr:ext cx="0" cy="27940"/>
    <xdr:sp macro="" textlink="">
      <xdr:nvSpPr>
        <xdr:cNvPr id="406" name="Shape 406">
          <a:extLst>
            <a:ext uri="{FF2B5EF4-FFF2-40B4-BE49-F238E27FC236}">
              <a16:creationId xmlns:a16="http://schemas.microsoft.com/office/drawing/2014/main" id="{00BBDB04-96F6-45FE-A3B9-5C1030B6F0E7}"/>
            </a:ext>
          </a:extLst>
        </xdr:cNvPr>
        <xdr:cNvSpPr/>
      </xdr:nvSpPr>
      <xdr:spPr>
        <a:xfrm>
          <a:off x="2439583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37</xdr:row>
      <xdr:rowOff>102120</xdr:rowOff>
    </xdr:from>
    <xdr:ext cx="0" cy="27940"/>
    <xdr:sp macro="" textlink="">
      <xdr:nvSpPr>
        <xdr:cNvPr id="407" name="Shape 407">
          <a:extLst>
            <a:ext uri="{FF2B5EF4-FFF2-40B4-BE49-F238E27FC236}">
              <a16:creationId xmlns:a16="http://schemas.microsoft.com/office/drawing/2014/main" id="{0051BC1E-DAFA-4623-BF6F-C3346953BA25}"/>
            </a:ext>
          </a:extLst>
        </xdr:cNvPr>
        <xdr:cNvSpPr/>
      </xdr:nvSpPr>
      <xdr:spPr>
        <a:xfrm>
          <a:off x="358341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37</xdr:row>
      <xdr:rowOff>102120</xdr:rowOff>
    </xdr:from>
    <xdr:ext cx="0" cy="27940"/>
    <xdr:sp macro="" textlink="">
      <xdr:nvSpPr>
        <xdr:cNvPr id="408" name="Shape 408">
          <a:extLst>
            <a:ext uri="{FF2B5EF4-FFF2-40B4-BE49-F238E27FC236}">
              <a16:creationId xmlns:a16="http://schemas.microsoft.com/office/drawing/2014/main" id="{CEBCFAE6-974E-4CAD-B37E-3D43E84F50D6}"/>
            </a:ext>
          </a:extLst>
        </xdr:cNvPr>
        <xdr:cNvSpPr/>
      </xdr:nvSpPr>
      <xdr:spPr>
        <a:xfrm>
          <a:off x="4352461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8</xdr:row>
      <xdr:rowOff>99545</xdr:rowOff>
    </xdr:from>
    <xdr:ext cx="0" cy="27940"/>
    <xdr:sp macro="" textlink="">
      <xdr:nvSpPr>
        <xdr:cNvPr id="409" name="Shape 53">
          <a:extLst>
            <a:ext uri="{FF2B5EF4-FFF2-40B4-BE49-F238E27FC236}">
              <a16:creationId xmlns:a16="http://schemas.microsoft.com/office/drawing/2014/main" id="{55CD951B-F7B0-4D65-A6D7-86367552EDE2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99545</xdr:rowOff>
    </xdr:from>
    <xdr:ext cx="0" cy="27940"/>
    <xdr:sp macro="" textlink="">
      <xdr:nvSpPr>
        <xdr:cNvPr id="410" name="Shape 53">
          <a:extLst>
            <a:ext uri="{FF2B5EF4-FFF2-40B4-BE49-F238E27FC236}">
              <a16:creationId xmlns:a16="http://schemas.microsoft.com/office/drawing/2014/main" id="{AC372736-8DB9-44F4-AB2A-DD3D7B629AE1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99545</xdr:rowOff>
    </xdr:from>
    <xdr:ext cx="0" cy="27940"/>
    <xdr:sp macro="" textlink="">
      <xdr:nvSpPr>
        <xdr:cNvPr id="411" name="Shape 53">
          <a:extLst>
            <a:ext uri="{FF2B5EF4-FFF2-40B4-BE49-F238E27FC236}">
              <a16:creationId xmlns:a16="http://schemas.microsoft.com/office/drawing/2014/main" id="{31DF20A5-C8CD-4580-B191-72B1B9CFA347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99545</xdr:rowOff>
    </xdr:from>
    <xdr:ext cx="0" cy="27940"/>
    <xdr:sp macro="" textlink="">
      <xdr:nvSpPr>
        <xdr:cNvPr id="412" name="Shape 53">
          <a:extLst>
            <a:ext uri="{FF2B5EF4-FFF2-40B4-BE49-F238E27FC236}">
              <a16:creationId xmlns:a16="http://schemas.microsoft.com/office/drawing/2014/main" id="{CD6CF2B3-3A48-44ED-ACD8-DE2083F38CC7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99545</xdr:rowOff>
    </xdr:from>
    <xdr:ext cx="0" cy="27940"/>
    <xdr:sp macro="" textlink="">
      <xdr:nvSpPr>
        <xdr:cNvPr id="413" name="Shape 53">
          <a:extLst>
            <a:ext uri="{FF2B5EF4-FFF2-40B4-BE49-F238E27FC236}">
              <a16:creationId xmlns:a16="http://schemas.microsoft.com/office/drawing/2014/main" id="{302DE0B6-DC3E-4452-B8A2-7A54DCA47E89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99545</xdr:rowOff>
    </xdr:from>
    <xdr:ext cx="0" cy="27940"/>
    <xdr:sp macro="" textlink="">
      <xdr:nvSpPr>
        <xdr:cNvPr id="414" name="Shape 53">
          <a:extLst>
            <a:ext uri="{FF2B5EF4-FFF2-40B4-BE49-F238E27FC236}">
              <a16:creationId xmlns:a16="http://schemas.microsoft.com/office/drawing/2014/main" id="{ED50093B-D026-42AC-AB51-670BCCBBC8E2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99545</xdr:rowOff>
    </xdr:from>
    <xdr:ext cx="0" cy="27940"/>
    <xdr:sp macro="" textlink="">
      <xdr:nvSpPr>
        <xdr:cNvPr id="415" name="Shape 53">
          <a:extLst>
            <a:ext uri="{FF2B5EF4-FFF2-40B4-BE49-F238E27FC236}">
              <a16:creationId xmlns:a16="http://schemas.microsoft.com/office/drawing/2014/main" id="{8EFBD7E6-9D3B-442E-9DE3-D4728073C74D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16</xdr:row>
      <xdr:rowOff>100255</xdr:rowOff>
    </xdr:from>
    <xdr:ext cx="0" cy="27940"/>
    <xdr:sp macro="" textlink="">
      <xdr:nvSpPr>
        <xdr:cNvPr id="416" name="Shape 141">
          <a:extLst>
            <a:ext uri="{FF2B5EF4-FFF2-40B4-BE49-F238E27FC236}">
              <a16:creationId xmlns:a16="http://schemas.microsoft.com/office/drawing/2014/main" id="{AA69E511-E069-46F2-85D7-49A1EDBE02A5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100255</xdr:rowOff>
    </xdr:from>
    <xdr:ext cx="0" cy="27940"/>
    <xdr:sp macro="" textlink="">
      <xdr:nvSpPr>
        <xdr:cNvPr id="417" name="Shape 141">
          <a:extLst>
            <a:ext uri="{FF2B5EF4-FFF2-40B4-BE49-F238E27FC236}">
              <a16:creationId xmlns:a16="http://schemas.microsoft.com/office/drawing/2014/main" id="{6CF9FAAE-CF9D-4E5D-9D7E-EA84BD71018F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100255</xdr:rowOff>
    </xdr:from>
    <xdr:ext cx="0" cy="27940"/>
    <xdr:sp macro="" textlink="">
      <xdr:nvSpPr>
        <xdr:cNvPr id="418" name="Shape 141">
          <a:extLst>
            <a:ext uri="{FF2B5EF4-FFF2-40B4-BE49-F238E27FC236}">
              <a16:creationId xmlns:a16="http://schemas.microsoft.com/office/drawing/2014/main" id="{813A116F-E8EF-4ABD-9554-64598122AF05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100255</xdr:rowOff>
    </xdr:from>
    <xdr:ext cx="0" cy="27940"/>
    <xdr:sp macro="" textlink="">
      <xdr:nvSpPr>
        <xdr:cNvPr id="419" name="Shape 141">
          <a:extLst>
            <a:ext uri="{FF2B5EF4-FFF2-40B4-BE49-F238E27FC236}">
              <a16:creationId xmlns:a16="http://schemas.microsoft.com/office/drawing/2014/main" id="{D5CBDFEB-96CD-4F52-9101-6CD3A59CE6B9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100255</xdr:rowOff>
    </xdr:from>
    <xdr:ext cx="0" cy="27940"/>
    <xdr:sp macro="" textlink="">
      <xdr:nvSpPr>
        <xdr:cNvPr id="420" name="Shape 141">
          <a:extLst>
            <a:ext uri="{FF2B5EF4-FFF2-40B4-BE49-F238E27FC236}">
              <a16:creationId xmlns:a16="http://schemas.microsoft.com/office/drawing/2014/main" id="{C44CE89A-DC47-4CCB-8EB8-D337C5137D73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100255</xdr:rowOff>
    </xdr:from>
    <xdr:ext cx="0" cy="27940"/>
    <xdr:sp macro="" textlink="">
      <xdr:nvSpPr>
        <xdr:cNvPr id="421" name="Shape 141">
          <a:extLst>
            <a:ext uri="{FF2B5EF4-FFF2-40B4-BE49-F238E27FC236}">
              <a16:creationId xmlns:a16="http://schemas.microsoft.com/office/drawing/2014/main" id="{707B1DBF-60CB-4718-B36D-FB2CC9E7C0A4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100255</xdr:rowOff>
    </xdr:from>
    <xdr:ext cx="0" cy="27940"/>
    <xdr:sp macro="" textlink="">
      <xdr:nvSpPr>
        <xdr:cNvPr id="422" name="Shape 141">
          <a:extLst>
            <a:ext uri="{FF2B5EF4-FFF2-40B4-BE49-F238E27FC236}">
              <a16:creationId xmlns:a16="http://schemas.microsoft.com/office/drawing/2014/main" id="{66F0DD0D-787E-47D5-A6F5-3AD81935F6E3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25</xdr:row>
      <xdr:rowOff>100967</xdr:rowOff>
    </xdr:from>
    <xdr:ext cx="0" cy="27940"/>
    <xdr:sp macro="" textlink="">
      <xdr:nvSpPr>
        <xdr:cNvPr id="423" name="Shape 251">
          <a:extLst>
            <a:ext uri="{FF2B5EF4-FFF2-40B4-BE49-F238E27FC236}">
              <a16:creationId xmlns:a16="http://schemas.microsoft.com/office/drawing/2014/main" id="{02391BE7-4147-49E1-9FD7-BEA21FED9251}"/>
            </a:ext>
          </a:extLst>
        </xdr:cNvPr>
        <xdr:cNvSpPr/>
      </xdr:nvSpPr>
      <xdr:spPr>
        <a:xfrm>
          <a:off x="374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26</xdr:row>
      <xdr:rowOff>100967</xdr:rowOff>
    </xdr:from>
    <xdr:ext cx="0" cy="27940"/>
    <xdr:sp macro="" textlink="">
      <xdr:nvSpPr>
        <xdr:cNvPr id="424" name="Shape 251">
          <a:extLst>
            <a:ext uri="{FF2B5EF4-FFF2-40B4-BE49-F238E27FC236}">
              <a16:creationId xmlns:a16="http://schemas.microsoft.com/office/drawing/2014/main" id="{E3F0AD85-6F74-4D61-82BC-0F1FC8229D5B}"/>
            </a:ext>
          </a:extLst>
        </xdr:cNvPr>
        <xdr:cNvSpPr/>
      </xdr:nvSpPr>
      <xdr:spPr>
        <a:xfrm>
          <a:off x="374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36</xdr:row>
      <xdr:rowOff>102030</xdr:rowOff>
    </xdr:from>
    <xdr:ext cx="0" cy="27940"/>
    <xdr:sp macro="" textlink="">
      <xdr:nvSpPr>
        <xdr:cNvPr id="425" name="Shape 394">
          <a:extLst>
            <a:ext uri="{FF2B5EF4-FFF2-40B4-BE49-F238E27FC236}">
              <a16:creationId xmlns:a16="http://schemas.microsoft.com/office/drawing/2014/main" id="{15B6654B-6F40-4518-8232-B9D23C865A7F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37</xdr:row>
      <xdr:rowOff>102030</xdr:rowOff>
    </xdr:from>
    <xdr:ext cx="0" cy="27940"/>
    <xdr:sp macro="" textlink="">
      <xdr:nvSpPr>
        <xdr:cNvPr id="426" name="Shape 394">
          <a:extLst>
            <a:ext uri="{FF2B5EF4-FFF2-40B4-BE49-F238E27FC236}">
              <a16:creationId xmlns:a16="http://schemas.microsoft.com/office/drawing/2014/main" id="{BD815C06-8364-40D0-BA8F-0BF662DF7D13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37</xdr:row>
      <xdr:rowOff>102030</xdr:rowOff>
    </xdr:from>
    <xdr:ext cx="0" cy="27940"/>
    <xdr:sp macro="" textlink="">
      <xdr:nvSpPr>
        <xdr:cNvPr id="427" name="Shape 394">
          <a:extLst>
            <a:ext uri="{FF2B5EF4-FFF2-40B4-BE49-F238E27FC236}">
              <a16:creationId xmlns:a16="http://schemas.microsoft.com/office/drawing/2014/main" id="{5027DE2A-ABC6-4D65-9E05-7A68C00749B1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38</xdr:row>
      <xdr:rowOff>102030</xdr:rowOff>
    </xdr:from>
    <xdr:ext cx="0" cy="27940"/>
    <xdr:sp macro="" textlink="">
      <xdr:nvSpPr>
        <xdr:cNvPr id="428" name="Shape 394">
          <a:extLst>
            <a:ext uri="{FF2B5EF4-FFF2-40B4-BE49-F238E27FC236}">
              <a16:creationId xmlns:a16="http://schemas.microsoft.com/office/drawing/2014/main" id="{B9B1DE6F-D1B5-424F-B3C3-16DB9810C3E2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38</xdr:row>
      <xdr:rowOff>102030</xdr:rowOff>
    </xdr:from>
    <xdr:ext cx="0" cy="27940"/>
    <xdr:sp macro="" textlink="">
      <xdr:nvSpPr>
        <xdr:cNvPr id="429" name="Shape 394">
          <a:extLst>
            <a:ext uri="{FF2B5EF4-FFF2-40B4-BE49-F238E27FC236}">
              <a16:creationId xmlns:a16="http://schemas.microsoft.com/office/drawing/2014/main" id="{03BBA45C-40B5-4D8E-9993-9B4D37D54EBE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8</xdr:row>
      <xdr:rowOff>99545</xdr:rowOff>
    </xdr:from>
    <xdr:ext cx="0" cy="27940"/>
    <xdr:sp macro="" textlink="">
      <xdr:nvSpPr>
        <xdr:cNvPr id="430" name="Shape 53">
          <a:extLst>
            <a:ext uri="{FF2B5EF4-FFF2-40B4-BE49-F238E27FC236}">
              <a16:creationId xmlns:a16="http://schemas.microsoft.com/office/drawing/2014/main" id="{C803D004-8854-4AF4-B1E6-7C26E5A18937}"/>
            </a:ext>
          </a:extLst>
        </xdr:cNvPr>
        <xdr:cNvSpPr/>
      </xdr:nvSpPr>
      <xdr:spPr>
        <a:xfrm>
          <a:off x="1136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99720</xdr:rowOff>
    </xdr:from>
    <xdr:ext cx="0" cy="27940"/>
    <xdr:sp macro="" textlink="">
      <xdr:nvSpPr>
        <xdr:cNvPr id="431" name="Shape 64">
          <a:extLst>
            <a:ext uri="{FF2B5EF4-FFF2-40B4-BE49-F238E27FC236}">
              <a16:creationId xmlns:a16="http://schemas.microsoft.com/office/drawing/2014/main" id="{4521353C-89C4-40B8-8957-894D8CBAF6C7}"/>
            </a:ext>
          </a:extLst>
        </xdr:cNvPr>
        <xdr:cNvSpPr/>
      </xdr:nvSpPr>
      <xdr:spPr>
        <a:xfrm>
          <a:off x="1136959" y="18142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99634</xdr:rowOff>
    </xdr:from>
    <xdr:ext cx="0" cy="27940"/>
    <xdr:sp macro="" textlink="">
      <xdr:nvSpPr>
        <xdr:cNvPr id="432" name="Shape 75">
          <a:extLst>
            <a:ext uri="{FF2B5EF4-FFF2-40B4-BE49-F238E27FC236}">
              <a16:creationId xmlns:a16="http://schemas.microsoft.com/office/drawing/2014/main" id="{B04FBA31-0212-46E8-8DFE-52FC0C307B24}"/>
            </a:ext>
          </a:extLst>
        </xdr:cNvPr>
        <xdr:cNvSpPr/>
      </xdr:nvSpPr>
      <xdr:spPr>
        <a:xfrm>
          <a:off x="1136959" y="16236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99810</xdr:rowOff>
    </xdr:from>
    <xdr:ext cx="0" cy="27940"/>
    <xdr:sp macro="" textlink="">
      <xdr:nvSpPr>
        <xdr:cNvPr id="433" name="Shape 86">
          <a:extLst>
            <a:ext uri="{FF2B5EF4-FFF2-40B4-BE49-F238E27FC236}">
              <a16:creationId xmlns:a16="http://schemas.microsoft.com/office/drawing/2014/main" id="{A02B623F-FD8C-4A32-BD4A-BBD673BA4730}"/>
            </a:ext>
          </a:extLst>
        </xdr:cNvPr>
        <xdr:cNvSpPr/>
      </xdr:nvSpPr>
      <xdr:spPr>
        <a:xfrm>
          <a:off x="1136959" y="20048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16</xdr:row>
      <xdr:rowOff>100255</xdr:rowOff>
    </xdr:from>
    <xdr:ext cx="0" cy="27940"/>
    <xdr:sp macro="" textlink="">
      <xdr:nvSpPr>
        <xdr:cNvPr id="434" name="Shape 141">
          <a:extLst>
            <a:ext uri="{FF2B5EF4-FFF2-40B4-BE49-F238E27FC236}">
              <a16:creationId xmlns:a16="http://schemas.microsoft.com/office/drawing/2014/main" id="{E0885310-AB53-4A02-9182-006319F08D51}"/>
            </a:ext>
          </a:extLst>
        </xdr:cNvPr>
        <xdr:cNvSpPr/>
      </xdr:nvSpPr>
      <xdr:spPr>
        <a:xfrm>
          <a:off x="1136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100434</xdr:rowOff>
    </xdr:from>
    <xdr:ext cx="0" cy="27940"/>
    <xdr:sp macro="" textlink="">
      <xdr:nvSpPr>
        <xdr:cNvPr id="435" name="Shape 152">
          <a:extLst>
            <a:ext uri="{FF2B5EF4-FFF2-40B4-BE49-F238E27FC236}">
              <a16:creationId xmlns:a16="http://schemas.microsoft.com/office/drawing/2014/main" id="{9D5B707E-CD58-491F-9213-080C369725A0}"/>
            </a:ext>
          </a:extLst>
        </xdr:cNvPr>
        <xdr:cNvSpPr/>
      </xdr:nvSpPr>
      <xdr:spPr>
        <a:xfrm>
          <a:off x="1136959" y="33389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100343</xdr:rowOff>
    </xdr:from>
    <xdr:ext cx="0" cy="27940"/>
    <xdr:sp macro="" textlink="">
      <xdr:nvSpPr>
        <xdr:cNvPr id="436" name="Shape 163">
          <a:extLst>
            <a:ext uri="{FF2B5EF4-FFF2-40B4-BE49-F238E27FC236}">
              <a16:creationId xmlns:a16="http://schemas.microsoft.com/office/drawing/2014/main" id="{2B69B89E-BD30-4757-AFE4-6CA085855C01}"/>
            </a:ext>
          </a:extLst>
        </xdr:cNvPr>
        <xdr:cNvSpPr/>
      </xdr:nvSpPr>
      <xdr:spPr>
        <a:xfrm>
          <a:off x="1136959" y="314834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100520</xdr:rowOff>
    </xdr:from>
    <xdr:ext cx="0" cy="27940"/>
    <xdr:sp macro="" textlink="">
      <xdr:nvSpPr>
        <xdr:cNvPr id="437" name="Shape 174">
          <a:extLst>
            <a:ext uri="{FF2B5EF4-FFF2-40B4-BE49-F238E27FC236}">
              <a16:creationId xmlns:a16="http://schemas.microsoft.com/office/drawing/2014/main" id="{9BD50E05-3045-480B-B160-3910AE4C7042}"/>
            </a:ext>
          </a:extLst>
        </xdr:cNvPr>
        <xdr:cNvSpPr/>
      </xdr:nvSpPr>
      <xdr:spPr>
        <a:xfrm>
          <a:off x="1136959" y="35295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25</xdr:row>
      <xdr:rowOff>101053</xdr:rowOff>
    </xdr:from>
    <xdr:ext cx="0" cy="27940"/>
    <xdr:sp macro="" textlink="">
      <xdr:nvSpPr>
        <xdr:cNvPr id="438" name="Shape 229">
          <a:extLst>
            <a:ext uri="{FF2B5EF4-FFF2-40B4-BE49-F238E27FC236}">
              <a16:creationId xmlns:a16="http://schemas.microsoft.com/office/drawing/2014/main" id="{DE372780-17C5-48E1-BA28-2451F78593C5}"/>
            </a:ext>
          </a:extLst>
        </xdr:cNvPr>
        <xdr:cNvSpPr/>
      </xdr:nvSpPr>
      <xdr:spPr>
        <a:xfrm>
          <a:off x="1136959" y="467305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26</xdr:row>
      <xdr:rowOff>101144</xdr:rowOff>
    </xdr:from>
    <xdr:ext cx="0" cy="27940"/>
    <xdr:sp macro="" textlink="">
      <xdr:nvSpPr>
        <xdr:cNvPr id="439" name="Shape 240">
          <a:extLst>
            <a:ext uri="{FF2B5EF4-FFF2-40B4-BE49-F238E27FC236}">
              <a16:creationId xmlns:a16="http://schemas.microsoft.com/office/drawing/2014/main" id="{6AFFA15F-6C70-4D9B-80E1-9F688D9B2738}"/>
            </a:ext>
          </a:extLst>
        </xdr:cNvPr>
        <xdr:cNvSpPr/>
      </xdr:nvSpPr>
      <xdr:spPr>
        <a:xfrm>
          <a:off x="1136959" y="486364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24</xdr:row>
      <xdr:rowOff>100967</xdr:rowOff>
    </xdr:from>
    <xdr:ext cx="0" cy="27940"/>
    <xdr:sp macro="" textlink="">
      <xdr:nvSpPr>
        <xdr:cNvPr id="440" name="Shape 251">
          <a:extLst>
            <a:ext uri="{FF2B5EF4-FFF2-40B4-BE49-F238E27FC236}">
              <a16:creationId xmlns:a16="http://schemas.microsoft.com/office/drawing/2014/main" id="{4E8A8C79-7F14-41F8-B900-49066D270E9D}"/>
            </a:ext>
          </a:extLst>
        </xdr:cNvPr>
        <xdr:cNvSpPr/>
      </xdr:nvSpPr>
      <xdr:spPr>
        <a:xfrm>
          <a:off x="1136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36</xdr:row>
      <xdr:rowOff>102030</xdr:rowOff>
    </xdr:from>
    <xdr:ext cx="0" cy="27940"/>
    <xdr:sp macro="" textlink="">
      <xdr:nvSpPr>
        <xdr:cNvPr id="441" name="Shape 394">
          <a:extLst>
            <a:ext uri="{FF2B5EF4-FFF2-40B4-BE49-F238E27FC236}">
              <a16:creationId xmlns:a16="http://schemas.microsoft.com/office/drawing/2014/main" id="{A7F0A385-37E1-4916-BFD4-D15689BEBEFF}"/>
            </a:ext>
          </a:extLst>
        </xdr:cNvPr>
        <xdr:cNvSpPr/>
      </xdr:nvSpPr>
      <xdr:spPr>
        <a:xfrm>
          <a:off x="1136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8</xdr:row>
      <xdr:rowOff>99545</xdr:rowOff>
    </xdr:from>
    <xdr:ext cx="0" cy="27940"/>
    <xdr:sp macro="" textlink="">
      <xdr:nvSpPr>
        <xdr:cNvPr id="442" name="Shape 53">
          <a:extLst>
            <a:ext uri="{FF2B5EF4-FFF2-40B4-BE49-F238E27FC236}">
              <a16:creationId xmlns:a16="http://schemas.microsoft.com/office/drawing/2014/main" id="{052FB167-7D55-4326-BEC6-FA5E6369E6F0}"/>
            </a:ext>
          </a:extLst>
        </xdr:cNvPr>
        <xdr:cNvSpPr/>
      </xdr:nvSpPr>
      <xdr:spPr>
        <a:xfrm>
          <a:off x="1136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99545</xdr:rowOff>
    </xdr:from>
    <xdr:ext cx="0" cy="27940"/>
    <xdr:sp macro="" textlink="">
      <xdr:nvSpPr>
        <xdr:cNvPr id="443" name="Shape 53">
          <a:extLst>
            <a:ext uri="{FF2B5EF4-FFF2-40B4-BE49-F238E27FC236}">
              <a16:creationId xmlns:a16="http://schemas.microsoft.com/office/drawing/2014/main" id="{AE390551-F97B-48EE-A1B4-60FABED4EE85}"/>
            </a:ext>
          </a:extLst>
        </xdr:cNvPr>
        <xdr:cNvSpPr/>
      </xdr:nvSpPr>
      <xdr:spPr>
        <a:xfrm>
          <a:off x="1136959" y="1623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99545</xdr:rowOff>
    </xdr:from>
    <xdr:ext cx="0" cy="27940"/>
    <xdr:sp macro="" textlink="">
      <xdr:nvSpPr>
        <xdr:cNvPr id="444" name="Shape 53">
          <a:extLst>
            <a:ext uri="{FF2B5EF4-FFF2-40B4-BE49-F238E27FC236}">
              <a16:creationId xmlns:a16="http://schemas.microsoft.com/office/drawing/2014/main" id="{80D2B846-45F4-4808-B99F-C761DCCEE3AF}"/>
            </a:ext>
          </a:extLst>
        </xdr:cNvPr>
        <xdr:cNvSpPr/>
      </xdr:nvSpPr>
      <xdr:spPr>
        <a:xfrm>
          <a:off x="1136959" y="1623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99545</xdr:rowOff>
    </xdr:from>
    <xdr:ext cx="0" cy="27940"/>
    <xdr:sp macro="" textlink="">
      <xdr:nvSpPr>
        <xdr:cNvPr id="445" name="Shape 53">
          <a:extLst>
            <a:ext uri="{FF2B5EF4-FFF2-40B4-BE49-F238E27FC236}">
              <a16:creationId xmlns:a16="http://schemas.microsoft.com/office/drawing/2014/main" id="{C1C0C7FE-1418-428A-90DE-B99650AC7E10}"/>
            </a:ext>
          </a:extLst>
        </xdr:cNvPr>
        <xdr:cNvSpPr/>
      </xdr:nvSpPr>
      <xdr:spPr>
        <a:xfrm>
          <a:off x="1136959" y="1814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99545</xdr:rowOff>
    </xdr:from>
    <xdr:ext cx="0" cy="27940"/>
    <xdr:sp macro="" textlink="">
      <xdr:nvSpPr>
        <xdr:cNvPr id="446" name="Shape 53">
          <a:extLst>
            <a:ext uri="{FF2B5EF4-FFF2-40B4-BE49-F238E27FC236}">
              <a16:creationId xmlns:a16="http://schemas.microsoft.com/office/drawing/2014/main" id="{8C8D6F94-7B54-457A-8426-E0201968AA26}"/>
            </a:ext>
          </a:extLst>
        </xdr:cNvPr>
        <xdr:cNvSpPr/>
      </xdr:nvSpPr>
      <xdr:spPr>
        <a:xfrm>
          <a:off x="1136959" y="1814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99545</xdr:rowOff>
    </xdr:from>
    <xdr:ext cx="0" cy="27940"/>
    <xdr:sp macro="" textlink="">
      <xdr:nvSpPr>
        <xdr:cNvPr id="447" name="Shape 53">
          <a:extLst>
            <a:ext uri="{FF2B5EF4-FFF2-40B4-BE49-F238E27FC236}">
              <a16:creationId xmlns:a16="http://schemas.microsoft.com/office/drawing/2014/main" id="{DFFB6AF4-7355-4BFB-8160-D2913E78ADE7}"/>
            </a:ext>
          </a:extLst>
        </xdr:cNvPr>
        <xdr:cNvSpPr/>
      </xdr:nvSpPr>
      <xdr:spPr>
        <a:xfrm>
          <a:off x="1136959" y="2004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99545</xdr:rowOff>
    </xdr:from>
    <xdr:ext cx="0" cy="27940"/>
    <xdr:sp macro="" textlink="">
      <xdr:nvSpPr>
        <xdr:cNvPr id="448" name="Shape 53">
          <a:extLst>
            <a:ext uri="{FF2B5EF4-FFF2-40B4-BE49-F238E27FC236}">
              <a16:creationId xmlns:a16="http://schemas.microsoft.com/office/drawing/2014/main" id="{9689CD2E-BB49-40AF-AA52-12247E44CE11}"/>
            </a:ext>
          </a:extLst>
        </xdr:cNvPr>
        <xdr:cNvSpPr/>
      </xdr:nvSpPr>
      <xdr:spPr>
        <a:xfrm>
          <a:off x="1136959" y="2004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16</xdr:row>
      <xdr:rowOff>100255</xdr:rowOff>
    </xdr:from>
    <xdr:ext cx="0" cy="27940"/>
    <xdr:sp macro="" textlink="">
      <xdr:nvSpPr>
        <xdr:cNvPr id="449" name="Shape 141">
          <a:extLst>
            <a:ext uri="{FF2B5EF4-FFF2-40B4-BE49-F238E27FC236}">
              <a16:creationId xmlns:a16="http://schemas.microsoft.com/office/drawing/2014/main" id="{6B4F39EF-839C-4EB4-ADAC-5FED6B75767A}"/>
            </a:ext>
          </a:extLst>
        </xdr:cNvPr>
        <xdr:cNvSpPr/>
      </xdr:nvSpPr>
      <xdr:spPr>
        <a:xfrm>
          <a:off x="1136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100255</xdr:rowOff>
    </xdr:from>
    <xdr:ext cx="0" cy="27940"/>
    <xdr:sp macro="" textlink="">
      <xdr:nvSpPr>
        <xdr:cNvPr id="450" name="Shape 141">
          <a:extLst>
            <a:ext uri="{FF2B5EF4-FFF2-40B4-BE49-F238E27FC236}">
              <a16:creationId xmlns:a16="http://schemas.microsoft.com/office/drawing/2014/main" id="{9529A5A2-5606-4C54-AE96-F37112B37CB4}"/>
            </a:ext>
          </a:extLst>
        </xdr:cNvPr>
        <xdr:cNvSpPr/>
      </xdr:nvSpPr>
      <xdr:spPr>
        <a:xfrm>
          <a:off x="1136959" y="3148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100255</xdr:rowOff>
    </xdr:from>
    <xdr:ext cx="0" cy="27940"/>
    <xdr:sp macro="" textlink="">
      <xdr:nvSpPr>
        <xdr:cNvPr id="451" name="Shape 141">
          <a:extLst>
            <a:ext uri="{FF2B5EF4-FFF2-40B4-BE49-F238E27FC236}">
              <a16:creationId xmlns:a16="http://schemas.microsoft.com/office/drawing/2014/main" id="{533F7C69-619A-4F09-A226-9629DB4078B3}"/>
            </a:ext>
          </a:extLst>
        </xdr:cNvPr>
        <xdr:cNvSpPr/>
      </xdr:nvSpPr>
      <xdr:spPr>
        <a:xfrm>
          <a:off x="1136959" y="3148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100255</xdr:rowOff>
    </xdr:from>
    <xdr:ext cx="0" cy="27940"/>
    <xdr:sp macro="" textlink="">
      <xdr:nvSpPr>
        <xdr:cNvPr id="452" name="Shape 141">
          <a:extLst>
            <a:ext uri="{FF2B5EF4-FFF2-40B4-BE49-F238E27FC236}">
              <a16:creationId xmlns:a16="http://schemas.microsoft.com/office/drawing/2014/main" id="{EA7DB800-CE87-4DD7-939B-7F4D3E55F244}"/>
            </a:ext>
          </a:extLst>
        </xdr:cNvPr>
        <xdr:cNvSpPr/>
      </xdr:nvSpPr>
      <xdr:spPr>
        <a:xfrm>
          <a:off x="1136959" y="3338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100255</xdr:rowOff>
    </xdr:from>
    <xdr:ext cx="0" cy="27940"/>
    <xdr:sp macro="" textlink="">
      <xdr:nvSpPr>
        <xdr:cNvPr id="453" name="Shape 141">
          <a:extLst>
            <a:ext uri="{FF2B5EF4-FFF2-40B4-BE49-F238E27FC236}">
              <a16:creationId xmlns:a16="http://schemas.microsoft.com/office/drawing/2014/main" id="{0F4AACBA-877C-441E-AEE2-E4E1BB154417}"/>
            </a:ext>
          </a:extLst>
        </xdr:cNvPr>
        <xdr:cNvSpPr/>
      </xdr:nvSpPr>
      <xdr:spPr>
        <a:xfrm>
          <a:off x="1136959" y="3338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100255</xdr:rowOff>
    </xdr:from>
    <xdr:ext cx="0" cy="27940"/>
    <xdr:sp macro="" textlink="">
      <xdr:nvSpPr>
        <xdr:cNvPr id="454" name="Shape 141">
          <a:extLst>
            <a:ext uri="{FF2B5EF4-FFF2-40B4-BE49-F238E27FC236}">
              <a16:creationId xmlns:a16="http://schemas.microsoft.com/office/drawing/2014/main" id="{CEC7BBE4-B432-4A57-87C2-552A38B86B49}"/>
            </a:ext>
          </a:extLst>
        </xdr:cNvPr>
        <xdr:cNvSpPr/>
      </xdr:nvSpPr>
      <xdr:spPr>
        <a:xfrm>
          <a:off x="1136959" y="3529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100255</xdr:rowOff>
    </xdr:from>
    <xdr:ext cx="0" cy="27940"/>
    <xdr:sp macro="" textlink="">
      <xdr:nvSpPr>
        <xdr:cNvPr id="455" name="Shape 141">
          <a:extLst>
            <a:ext uri="{FF2B5EF4-FFF2-40B4-BE49-F238E27FC236}">
              <a16:creationId xmlns:a16="http://schemas.microsoft.com/office/drawing/2014/main" id="{6F8FB78F-D030-47B9-96F5-BC73A425740A}"/>
            </a:ext>
          </a:extLst>
        </xdr:cNvPr>
        <xdr:cNvSpPr/>
      </xdr:nvSpPr>
      <xdr:spPr>
        <a:xfrm>
          <a:off x="1136959" y="3529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25</xdr:row>
      <xdr:rowOff>100967</xdr:rowOff>
    </xdr:from>
    <xdr:ext cx="0" cy="27940"/>
    <xdr:sp macro="" textlink="">
      <xdr:nvSpPr>
        <xdr:cNvPr id="456" name="Shape 251">
          <a:extLst>
            <a:ext uri="{FF2B5EF4-FFF2-40B4-BE49-F238E27FC236}">
              <a16:creationId xmlns:a16="http://schemas.microsoft.com/office/drawing/2014/main" id="{42FCCF6B-195B-4638-B2D6-AC113931F554}"/>
            </a:ext>
          </a:extLst>
        </xdr:cNvPr>
        <xdr:cNvSpPr/>
      </xdr:nvSpPr>
      <xdr:spPr>
        <a:xfrm>
          <a:off x="1136959" y="46729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26</xdr:row>
      <xdr:rowOff>100967</xdr:rowOff>
    </xdr:from>
    <xdr:ext cx="0" cy="27940"/>
    <xdr:sp macro="" textlink="">
      <xdr:nvSpPr>
        <xdr:cNvPr id="457" name="Shape 251">
          <a:extLst>
            <a:ext uri="{FF2B5EF4-FFF2-40B4-BE49-F238E27FC236}">
              <a16:creationId xmlns:a16="http://schemas.microsoft.com/office/drawing/2014/main" id="{DA3940AE-7B2D-4002-8560-091E55C54125}"/>
            </a:ext>
          </a:extLst>
        </xdr:cNvPr>
        <xdr:cNvSpPr/>
      </xdr:nvSpPr>
      <xdr:spPr>
        <a:xfrm>
          <a:off x="1136959" y="4863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36</xdr:row>
      <xdr:rowOff>102030</xdr:rowOff>
    </xdr:from>
    <xdr:ext cx="0" cy="27940"/>
    <xdr:sp macro="" textlink="">
      <xdr:nvSpPr>
        <xdr:cNvPr id="458" name="Shape 394">
          <a:extLst>
            <a:ext uri="{FF2B5EF4-FFF2-40B4-BE49-F238E27FC236}">
              <a16:creationId xmlns:a16="http://schemas.microsoft.com/office/drawing/2014/main" id="{F3018880-74DE-49F6-ACD1-156F1B932299}"/>
            </a:ext>
          </a:extLst>
        </xdr:cNvPr>
        <xdr:cNvSpPr/>
      </xdr:nvSpPr>
      <xdr:spPr>
        <a:xfrm>
          <a:off x="1136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37</xdr:row>
      <xdr:rowOff>102030</xdr:rowOff>
    </xdr:from>
    <xdr:ext cx="0" cy="27940"/>
    <xdr:sp macro="" textlink="">
      <xdr:nvSpPr>
        <xdr:cNvPr id="459" name="Shape 394">
          <a:extLst>
            <a:ext uri="{FF2B5EF4-FFF2-40B4-BE49-F238E27FC236}">
              <a16:creationId xmlns:a16="http://schemas.microsoft.com/office/drawing/2014/main" id="{A209705B-DDC9-4F08-AE5C-A4C0528F9401}"/>
            </a:ext>
          </a:extLst>
        </xdr:cNvPr>
        <xdr:cNvSpPr/>
      </xdr:nvSpPr>
      <xdr:spPr>
        <a:xfrm>
          <a:off x="1136959" y="69600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37</xdr:row>
      <xdr:rowOff>102030</xdr:rowOff>
    </xdr:from>
    <xdr:ext cx="0" cy="27940"/>
    <xdr:sp macro="" textlink="">
      <xdr:nvSpPr>
        <xdr:cNvPr id="460" name="Shape 394">
          <a:extLst>
            <a:ext uri="{FF2B5EF4-FFF2-40B4-BE49-F238E27FC236}">
              <a16:creationId xmlns:a16="http://schemas.microsoft.com/office/drawing/2014/main" id="{A060A6A6-CADE-4FC0-8FEB-B5ED402CC457}"/>
            </a:ext>
          </a:extLst>
        </xdr:cNvPr>
        <xdr:cNvSpPr/>
      </xdr:nvSpPr>
      <xdr:spPr>
        <a:xfrm>
          <a:off x="1136959" y="69600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38</xdr:row>
      <xdr:rowOff>102030</xdr:rowOff>
    </xdr:from>
    <xdr:ext cx="0" cy="27940"/>
    <xdr:sp macro="" textlink="">
      <xdr:nvSpPr>
        <xdr:cNvPr id="461" name="Shape 394">
          <a:extLst>
            <a:ext uri="{FF2B5EF4-FFF2-40B4-BE49-F238E27FC236}">
              <a16:creationId xmlns:a16="http://schemas.microsoft.com/office/drawing/2014/main" id="{6C88E662-1D6F-428E-A993-A61C8C098CDE}"/>
            </a:ext>
          </a:extLst>
        </xdr:cNvPr>
        <xdr:cNvSpPr/>
      </xdr:nvSpPr>
      <xdr:spPr>
        <a:xfrm>
          <a:off x="1136959" y="7150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38</xdr:row>
      <xdr:rowOff>102030</xdr:rowOff>
    </xdr:from>
    <xdr:ext cx="0" cy="27940"/>
    <xdr:sp macro="" textlink="">
      <xdr:nvSpPr>
        <xdr:cNvPr id="462" name="Shape 394">
          <a:extLst>
            <a:ext uri="{FF2B5EF4-FFF2-40B4-BE49-F238E27FC236}">
              <a16:creationId xmlns:a16="http://schemas.microsoft.com/office/drawing/2014/main" id="{E94C3D5F-7448-4220-9ACA-ABA0E90E7E85}"/>
            </a:ext>
          </a:extLst>
        </xdr:cNvPr>
        <xdr:cNvSpPr/>
      </xdr:nvSpPr>
      <xdr:spPr>
        <a:xfrm>
          <a:off x="1136959" y="7150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twoCellAnchor editAs="oneCell">
    <xdr:from>
      <xdr:col>15</xdr:col>
      <xdr:colOff>28575</xdr:colOff>
      <xdr:row>0</xdr:row>
      <xdr:rowOff>0</xdr:rowOff>
    </xdr:from>
    <xdr:to>
      <xdr:col>17</xdr:col>
      <xdr:colOff>456956</xdr:colOff>
      <xdr:row>3</xdr:row>
      <xdr:rowOff>161829</xdr:rowOff>
    </xdr:to>
    <xdr:pic>
      <xdr:nvPicPr>
        <xdr:cNvPr id="463" name="Imagen 462">
          <a:extLst>
            <a:ext uri="{FF2B5EF4-FFF2-40B4-BE49-F238E27FC236}">
              <a16:creationId xmlns:a16="http://schemas.microsoft.com/office/drawing/2014/main" id="{63834483-2083-47DE-B18A-6EBE58833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20575" y="571500"/>
          <a:ext cx="1952381" cy="77142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CB0B604-841C-4778-8002-79099F411BD3}" autoFormatId="16" applyNumberFormats="0" applyBorderFormats="0" applyFontFormats="0" applyPatternFormats="0" applyAlignmentFormats="0" applyWidthHeightFormats="0">
  <queryTableRefresh nextId="19">
    <queryTableFields count="18">
      <queryTableField id="1" name="Ángulo" tableColumnId="1"/>
      <queryTableField id="2" name="Lado" tableColumnId="2"/>
      <queryTableField id="3" name="Espesor" tableColumnId="3"/>
      <queryTableField id="4" name="Radios de acuerdo" tableColumnId="4"/>
      <queryTableField id="5" name="Column5" tableColumnId="5"/>
      <queryTableField id="6" name="Área_x000a_de la_x000a_sección" tableColumnId="6"/>
      <queryTableField id="7" name="Masa nominal por unidad de longitud" tableColumnId="7"/>
      <queryTableField id="8" name="Distancias_x000a_al centro_x000a_de gravedad" tableColumnId="8"/>
      <queryTableField id="9" name="Column9" tableColumnId="9"/>
      <queryTableField id="10" name="Column10" tableColumnId="10"/>
      <queryTableField id="11" name="Momentos de_x000a_inercia" tableColumnId="11"/>
      <queryTableField id="12" name="Column12" tableColumnId="12"/>
      <queryTableField id="13" name="Column13" tableColumnId="13"/>
      <queryTableField id="14" name="Módulos_x000a_resistentes" tableColumnId="14"/>
      <queryTableField id="15" name="Column15" tableColumnId="15"/>
      <queryTableField id="16" name="Radios de giro" tableColumnId="16"/>
      <queryTableField id="17" name="Column17" tableColumnId="17"/>
      <queryTableField id="18" name="Column18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66D068-A3B6-4E0D-BA36-A77FA03F0952}" name="Tabla_Angulo" displayName="Tabla_Angulo" ref="C1:T32" tableType="queryTable" totalsRowShown="0">
  <autoFilter ref="C1:T32" xr:uid="{3866D068-A3B6-4E0D-BA36-A77FA03F0952}"/>
  <sortState xmlns:xlrd2="http://schemas.microsoft.com/office/spreadsheetml/2017/richdata2" ref="C2:T32">
    <sortCondition ref="I4:I32"/>
  </sortState>
  <tableColumns count="18">
    <tableColumn id="1" xr3:uid="{A26B1F45-B505-4E5F-8C10-388F8C43FFF7}" uniqueName="1" name="Ángulo" queryTableFieldId="1" dataDxfId="20"/>
    <tableColumn id="2" xr3:uid="{3261DA58-5B40-4BC7-B771-68993C64FE23}" uniqueName="2" name="Lado" queryTableFieldId="2"/>
    <tableColumn id="3" xr3:uid="{D3E03FC6-E906-453E-BFF3-B37A19CBF20B}" uniqueName="3" name="Espesor" queryTableFieldId="3"/>
    <tableColumn id="4" xr3:uid="{B9AAC13B-8B72-48E0-A537-E2663197468E}" uniqueName="4" name="Radios de acuerdo" queryTableFieldId="4"/>
    <tableColumn id="5" xr3:uid="{CEFDFB28-0E36-44B2-8860-8C4D9FAFD0C0}" uniqueName="5" name="Column5" queryTableFieldId="5"/>
    <tableColumn id="6" xr3:uid="{B46B17D2-6213-4EC0-8309-87C99D4E385F}" uniqueName="6" name="Área_x000a_de la_x000a_sección" queryTableFieldId="6"/>
    <tableColumn id="7" xr3:uid="{3EE6570D-FF9F-4140-9EF9-945B8115A587}" uniqueName="7" name="Masa nominal por unidad de longitud" queryTableFieldId="7"/>
    <tableColumn id="8" xr3:uid="{031025CF-B435-406B-A0F6-83F0F74758D7}" uniqueName="8" name="Distancias_x000a_al centro_x000a_de gravedad" queryTableFieldId="8"/>
    <tableColumn id="9" xr3:uid="{176691C2-74A5-401B-BAAF-53A84A8B1482}" uniqueName="9" name="Column9" queryTableFieldId="9"/>
    <tableColumn id="10" xr3:uid="{DA725A01-4C4E-482D-B8B4-1B19B770D2C4}" uniqueName="10" name="Column10" queryTableFieldId="10"/>
    <tableColumn id="11" xr3:uid="{72B8EA5F-CBD1-45C6-BE08-F7B3816D4F75}" uniqueName="11" name="Momentos de_x000a_inercia" queryTableFieldId="11"/>
    <tableColumn id="12" xr3:uid="{956973B2-A931-4A6A-B2DC-3A6960B06A59}" uniqueName="12" name="Column12" queryTableFieldId="12"/>
    <tableColumn id="13" xr3:uid="{9338CD2B-923A-4F12-BBDB-E7004D635910}" uniqueName="13" name="Column13" queryTableFieldId="13"/>
    <tableColumn id="14" xr3:uid="{2E610B2F-9681-44F1-A8FD-90F9B1737BE8}" uniqueName="14" name="Módulos_x000a_resistentes" queryTableFieldId="14"/>
    <tableColumn id="15" xr3:uid="{9C43CFDC-2AD7-4104-8887-4A5037BF6ECA}" uniqueName="15" name="Column15" queryTableFieldId="15"/>
    <tableColumn id="16" xr3:uid="{857C4381-735F-4503-8542-DA59FCF4F9E8}" uniqueName="16" name="Radios de giro" queryTableFieldId="16"/>
    <tableColumn id="17" xr3:uid="{AB4ED43C-F06A-43BB-934D-8A356D9CCF0A}" uniqueName="17" name="Column17" queryTableFieldId="17"/>
    <tableColumn id="18" xr3:uid="{C2CDA7DA-BB87-4A74-9C5F-E4944F0EB6E7}" uniqueName="18" name="Column18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FD610-0A3F-48AD-BAA4-0B54C3DC8E09}">
  <sheetPr codeName="Hoja3"/>
  <dimension ref="A1:AD351"/>
  <sheetViews>
    <sheetView zoomScaleNormal="100" workbookViewId="0">
      <selection activeCell="K16" sqref="K16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35" t="s">
        <v>168</v>
      </c>
      <c r="B2" s="135"/>
      <c r="C2" s="135"/>
      <c r="D2" s="135"/>
      <c r="E2" s="135"/>
      <c r="F2" s="135"/>
      <c r="G2" s="135"/>
      <c r="H2" s="135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36"/>
      <c r="B3" s="136"/>
      <c r="C3" s="136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37"/>
      <c r="B4" s="137"/>
      <c r="C4" s="137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38" t="s">
        <v>16</v>
      </c>
      <c r="B15" s="139"/>
      <c r="C15" s="139"/>
      <c r="D15" s="140" t="s">
        <v>148</v>
      </c>
      <c r="E15" s="140"/>
      <c r="F15" s="140"/>
      <c r="G15" s="141"/>
      <c r="H15" s="142"/>
      <c r="I15" s="2"/>
      <c r="J15" s="2"/>
      <c r="K15" s="101" t="s">
        <v>249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99">
        <v>300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300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99">
        <v>300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300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99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150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2" t="s">
        <v>1</v>
      </c>
      <c r="B21" s="112"/>
      <c r="C21" s="112"/>
      <c r="D21" s="112"/>
      <c r="E21" s="112"/>
      <c r="F21" s="112"/>
      <c r="G21" s="112"/>
      <c r="H21" s="11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0.32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6.9400000000000003E-2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8.77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280.2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45.73</v>
      </c>
      <c r="C29" s="18" t="s">
        <v>15</v>
      </c>
      <c r="D29" s="4">
        <f>+VLOOKUP($D$15,'PERFILES C TERNIUM'!$A$5:$O$41,15,FALSE)</f>
        <v>2.2799999999999998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40.03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11.47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07" t="s">
        <v>20</v>
      </c>
      <c r="B33" s="107"/>
      <c r="C33" s="12">
        <f>+ROUND($B$23-(2*($D$23+$D$23)),2)</f>
        <v>12.72</v>
      </c>
      <c r="D33" s="7"/>
      <c r="E33" s="19" t="s">
        <v>23</v>
      </c>
      <c r="F33" s="12">
        <f>+ROUND($B$23-$D$23,2)</f>
        <v>13.68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07" t="s">
        <v>21</v>
      </c>
      <c r="B34" s="107"/>
      <c r="C34" s="12">
        <f>+ROUND($B$24-(2*($D$23+$D$23)),2)</f>
        <v>4.72</v>
      </c>
      <c r="D34" s="7"/>
      <c r="E34" s="19" t="s">
        <v>24</v>
      </c>
      <c r="F34" s="12">
        <f>+ROUND($B$24-$D$23,2)</f>
        <v>5.68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07" t="s">
        <v>22</v>
      </c>
      <c r="B35" s="107"/>
      <c r="C35" s="12">
        <f>+ROUND($B$25-($D$23+$D$23),2)</f>
        <v>1.36</v>
      </c>
      <c r="D35" s="7"/>
      <c r="E35" s="19" t="s">
        <v>25</v>
      </c>
      <c r="F35" s="12">
        <f>+ROUND($B$25-$D$23/2,2)</f>
        <v>1.84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98"/>
      <c r="B36" s="98"/>
      <c r="C36" s="12"/>
      <c r="D36" s="7"/>
      <c r="E36" s="97" t="s">
        <v>84</v>
      </c>
      <c r="F36" s="12">
        <f>+D30+D23/2</f>
        <v>2.17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98"/>
      <c r="B37" s="98"/>
      <c r="C37" s="12"/>
      <c r="D37" s="7"/>
      <c r="E37" s="97" t="s">
        <v>87</v>
      </c>
      <c r="F37" s="12">
        <f>+D23+D23/2</f>
        <v>0.48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32" t="s">
        <v>72</v>
      </c>
      <c r="B39" s="133"/>
      <c r="C39" s="133"/>
      <c r="D39" s="133"/>
      <c r="E39" s="133"/>
      <c r="F39" s="133"/>
      <c r="G39" s="133"/>
      <c r="H39" s="134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30" t="s">
        <v>81</v>
      </c>
      <c r="J40" s="35">
        <f>F34*(((3*F33^2*F34)+(B19*F35*(6*F33^2-8*F35^2))))</f>
        <v>29565.096140799997</v>
      </c>
      <c r="K40" s="128">
        <f>+ROUND(J40/J41,2)</f>
        <v>2.82</v>
      </c>
      <c r="L40" s="129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2.82</v>
      </c>
      <c r="C41" s="88" t="s">
        <v>80</v>
      </c>
      <c r="D41" s="69"/>
      <c r="E41" s="2"/>
      <c r="F41" s="7"/>
      <c r="G41" s="2"/>
      <c r="H41" s="60"/>
      <c r="I41" s="130"/>
      <c r="J41" s="33">
        <f>+(F33^3+(6*F33^2*F34)+B19*F35*(8*F35^2-12*F33*F35+6*F33^2))</f>
        <v>10498.029055999999</v>
      </c>
      <c r="K41" s="128"/>
      <c r="L41" s="129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-4.99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0.754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0.30499999999999999</v>
      </c>
      <c r="C43" s="88" t="s">
        <v>89</v>
      </c>
      <c r="D43" s="2"/>
      <c r="E43" s="2"/>
      <c r="F43" s="7"/>
      <c r="G43" s="2"/>
      <c r="H43" s="60"/>
      <c r="I43" s="130" t="s">
        <v>92</v>
      </c>
      <c r="J43" s="131">
        <f>+(F33^2*F34^2*D23)/12</f>
        <v>161.00434575360001</v>
      </c>
      <c r="K43" s="35">
        <f>2*F33^3*F34+3*F33^2*F34^2+B19*(48*F35^4+112*F34*F35^3+8*F33*F35^3+48*F33*F34*F35^2+12*F33^2*F35^2+12*F33^2*F34*F35+6*F33^3*F35)</f>
        <v>124355.06409472</v>
      </c>
      <c r="L43" s="130">
        <f>+ROUND(J43*(K43/K44),1)</f>
        <v>1907.2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1907.2</v>
      </c>
      <c r="C44" s="88" t="s">
        <v>91</v>
      </c>
      <c r="D44" s="2"/>
      <c r="E44" s="2"/>
      <c r="F44" s="7"/>
      <c r="G44" s="2"/>
      <c r="H44" s="60"/>
      <c r="I44" s="130"/>
      <c r="J44" s="131"/>
      <c r="K44" s="33">
        <f>6*F33^2*F34+(F33+2*B19*F35)^3-24*B19*F33*F35^2</f>
        <v>10498.029055999999</v>
      </c>
      <c r="L44" s="130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2" t="s">
        <v>35</v>
      </c>
      <c r="B46" s="112"/>
      <c r="C46" s="112"/>
      <c r="D46" s="112"/>
      <c r="E46" s="112"/>
      <c r="F46" s="112"/>
      <c r="G46" s="112"/>
      <c r="H46" s="11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4" t="s">
        <v>30</v>
      </c>
      <c r="B48" s="124"/>
      <c r="C48" s="124"/>
      <c r="D48" s="124"/>
      <c r="E48" s="124"/>
      <c r="F48" s="124"/>
      <c r="G48" s="124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14.749999999999998</v>
      </c>
      <c r="D50" s="125" t="str">
        <f>+IF($C$50&lt;60,"&lt; 60 - Elemento comp. rigidizado vinculado a ala o alma", " &gt; 60 - Elemento NO rigidizado")</f>
        <v>&lt; 60 - Elemento comp. rigidizado vinculado a ala o alma</v>
      </c>
      <c r="E50" s="125"/>
      <c r="F50" s="125"/>
      <c r="G50" s="125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4.25</v>
      </c>
      <c r="D51" s="126" t="str">
        <f>+IF($C$51&lt;60,"&lt; 60 - Elemento no rigidizado", "VER REGLAMENTO")</f>
        <v>&lt; 60 - Elemento no rigidizado</v>
      </c>
      <c r="E51" s="126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4" t="s">
        <v>32</v>
      </c>
      <c r="B53" s="124"/>
      <c r="C53" s="124"/>
      <c r="D53" s="124"/>
      <c r="E53" s="124"/>
      <c r="F53" s="124"/>
      <c r="G53" s="124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99">
        <f>+$C$33/$D$23</f>
        <v>39.75</v>
      </c>
      <c r="C55" s="125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5"/>
      <c r="E55" s="125"/>
      <c r="F55" s="125"/>
      <c r="G55" s="125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27" t="s">
        <v>95</v>
      </c>
      <c r="B57" s="127"/>
      <c r="C57" s="127"/>
      <c r="D57" s="127"/>
      <c r="E57" s="127"/>
      <c r="F57" s="127"/>
      <c r="G57" s="127"/>
      <c r="H57" s="127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21">
        <f>+ROUND((PI()^2*$G$24)/($H$18/$D$29)^2,2)</f>
        <v>114.01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21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2" t="s">
        <v>96</v>
      </c>
      <c r="B62" s="112"/>
      <c r="C62" s="112"/>
      <c r="D62" s="112"/>
      <c r="E62" s="112"/>
      <c r="F62" s="112"/>
      <c r="G62" s="112"/>
      <c r="H62" s="11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21">
        <f>+ROUND((PI()^2*$G$24)/($H$17/$D$28)^2,2)</f>
        <v>700.14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21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23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23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21">
        <f>+ROUND((1/(D25*E67^2)*(G25*B43+((PI()^2*G24*B44)/H19^2))),2)</f>
        <v>350.49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21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08">
        <f>ROUND(1-(B42/E67)^2,3)</f>
        <v>0.59899999999999998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08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21">
        <f>+ROUND((1/(2*$E$73))*((E64+E70)-((E64+E70)^2-4*E73*E64*E70)^(1/2)),2)</f>
        <v>277.45999999999998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21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2" t="s">
        <v>97</v>
      </c>
      <c r="B79" s="112"/>
      <c r="C79" s="112"/>
      <c r="D79" s="112"/>
      <c r="E79" s="112"/>
      <c r="F79" s="112"/>
      <c r="G79" s="112"/>
      <c r="H79" s="11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114.01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1.4359999999999999</v>
      </c>
      <c r="C83" s="99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99.14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2" t="s">
        <v>99</v>
      </c>
      <c r="B87" s="112"/>
      <c r="C87" s="112"/>
      <c r="D87" s="112"/>
      <c r="E87" s="112"/>
      <c r="F87" s="112"/>
      <c r="G87" s="112"/>
      <c r="H87" s="11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07" t="s">
        <v>93</v>
      </c>
      <c r="B89" s="107"/>
      <c r="C89" s="107"/>
      <c r="D89" s="107"/>
      <c r="E89" s="107"/>
      <c r="F89" s="107"/>
      <c r="G89" s="107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99.14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99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4303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0.152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-2.94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1.36</v>
      </c>
      <c r="F102" s="108" t="str">
        <f>+IF(D102="be=b", "Totalmente efectivo", "Parcialmente efectivo")</f>
        <v>Totalmente efectivo</v>
      </c>
      <c r="G102" s="108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07" t="s">
        <v>44</v>
      </c>
      <c r="B104" s="107"/>
      <c r="C104" s="107"/>
      <c r="D104" s="107"/>
      <c r="E104" s="107"/>
      <c r="F104" s="107"/>
      <c r="G104" s="107"/>
      <c r="H104" s="12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99.14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57.49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14.749999999999998</v>
      </c>
      <c r="E112" s="20" t="str">
        <f>+IF($D$112&lt;=$F$112,"&lt;","&gt;")</f>
        <v>&lt;</v>
      </c>
      <c r="F112" s="24">
        <f>+ROUND(D110*0.328,2)</f>
        <v>18.86</v>
      </c>
      <c r="G112" s="91" t="s">
        <v>48</v>
      </c>
      <c r="H112" s="62" t="s">
        <v>45</v>
      </c>
      <c r="I112" s="113" t="s">
        <v>49</v>
      </c>
      <c r="J112" s="114"/>
      <c r="K112" s="115" t="s">
        <v>64</v>
      </c>
      <c r="L112" s="116"/>
      <c r="M112" s="117" t="s">
        <v>58</v>
      </c>
      <c r="N112" s="118"/>
      <c r="O112" s="118"/>
      <c r="P112" s="118"/>
      <c r="Q112" s="118"/>
      <c r="R112" s="118"/>
      <c r="S112" s="118"/>
      <c r="T112" s="118"/>
      <c r="U112" s="119" t="s">
        <v>60</v>
      </c>
      <c r="V112" s="120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-1.5250397E-3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09" t="str">
        <f>+IF($D$112&lt;=$F$112,$I$112,$K$112)</f>
        <v>Para b/t ≤ 0.328 S</v>
      </c>
      <c r="E114" s="111"/>
      <c r="F114" s="2"/>
      <c r="G114" s="2"/>
      <c r="I114" s="31" t="s">
        <v>51</v>
      </c>
      <c r="J114" s="4">
        <f>+$C$34</f>
        <v>4.72</v>
      </c>
      <c r="K114" s="66" t="e">
        <f>+IF(N125&lt;=0.673,"be=b","be=ρ x b")</f>
        <v>#NUM!</v>
      </c>
      <c r="L114" s="42" t="e">
        <f>+$N$126</f>
        <v>#NUM!</v>
      </c>
      <c r="M114" s="31" t="s">
        <v>54</v>
      </c>
      <c r="N114" s="36">
        <f>ROUND(399*$D$23^4*(($D$112/$D$110)-0.328)^3,10)</f>
        <v>-1.5250397E-3</v>
      </c>
      <c r="O114" s="37" t="str">
        <f>+IF($N$114&lt;=$P$114,"&lt;","&gt;")</f>
        <v>&lt;</v>
      </c>
      <c r="P114" s="34">
        <f>+ROUND($D$23^4*((115*$D$112/$D$110)+5),2)</f>
        <v>0.36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0</v>
      </c>
      <c r="F115" s="2"/>
      <c r="G115" s="2"/>
      <c r="H115" s="60"/>
      <c r="I115" s="31" t="s">
        <v>59</v>
      </c>
      <c r="J115" s="4">
        <f>+$C$34/2</f>
        <v>2.36</v>
      </c>
      <c r="K115" s="49" t="s">
        <v>65</v>
      </c>
      <c r="L115" s="42" t="e">
        <f>+($L$114/2)*$N$117</f>
        <v>#NUM!</v>
      </c>
      <c r="M115" s="52" t="s">
        <v>50</v>
      </c>
      <c r="N115" s="30">
        <f>+IF($N$114&lt;=$P$114,$N$114,$P$114)</f>
        <v>-1.5250397E-3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4.72</v>
      </c>
      <c r="F116" s="108" t="str">
        <f>+IF($D$112&lt;=$F$112,"Totalmente efectivo",IF($N$125&lt;=0.673,"Totalmente efectivo","Parcialmente efectivo"))</f>
        <v>Totalmente efectivo</v>
      </c>
      <c r="G116" s="108"/>
      <c r="H116" s="60"/>
      <c r="I116" s="31" t="s">
        <v>52</v>
      </c>
      <c r="J116" s="4">
        <f>+$C$35</f>
        <v>1.36</v>
      </c>
      <c r="K116" s="49" t="s">
        <v>66</v>
      </c>
      <c r="L116" s="42" t="e">
        <f>+$L$114-$L$115</f>
        <v>#NUM!</v>
      </c>
      <c r="M116" s="53" t="s">
        <v>56</v>
      </c>
      <c r="N116" s="30">
        <f>+ROUND($D$23*$C$35^3/12,3)</f>
        <v>6.7000000000000004E-2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be1=be2=b/2</v>
      </c>
      <c r="E117" s="40">
        <f t="shared" si="0"/>
        <v>2.36</v>
      </c>
      <c r="F117" s="2"/>
      <c r="G117" s="2"/>
      <c r="H117" s="60"/>
      <c r="I117" s="50" t="s">
        <v>53</v>
      </c>
      <c r="J117" s="26">
        <f>+$J$116*$D$23</f>
        <v>0.43520000000000003</v>
      </c>
      <c r="K117" s="49" t="s">
        <v>67</v>
      </c>
      <c r="L117" s="42">
        <f>+$C$35*$N$117</f>
        <v>-59.74926423226885</v>
      </c>
      <c r="M117" s="53" t="s">
        <v>57</v>
      </c>
      <c r="N117" s="30">
        <f>+IF($N$116/$N$115&lt;1,$N$116/$N$115,1)</f>
        <v>-43.933282523727094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ds=d's</v>
      </c>
      <c r="E118" s="40">
        <f t="shared" si="0"/>
        <v>1.36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839.9940179523486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As=A's</v>
      </c>
      <c r="E119" s="40">
        <f t="shared" si="0"/>
        <v>0.43520000000000003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0.51800000000000002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>
        <f>+IF($D$112&lt;=$F$112,I118,K118)</f>
        <v>0</v>
      </c>
      <c r="E120" s="55">
        <f t="shared" si="0"/>
        <v>0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0.42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 t="e">
        <f>ROUND(IF((3.57*(N117)^$N$119)+0.43&lt;=4,3.57*(N117)^$N$119+0.43,4),3)</f>
        <v>#NUM!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07" t="s">
        <v>102</v>
      </c>
      <c r="B122" s="107"/>
      <c r="C122" s="107"/>
      <c r="D122" s="107"/>
      <c r="E122" s="107"/>
      <c r="F122" s="107"/>
      <c r="G122" s="107"/>
      <c r="H122" s="87" t="s">
        <v>36</v>
      </c>
      <c r="I122" s="2"/>
      <c r="J122" s="2"/>
      <c r="K122" s="2"/>
      <c r="L122" s="2"/>
      <c r="M122" s="47"/>
      <c r="N122" s="45" t="e">
        <f>+ROUND((IF((4.82-(5*$B$25/$C$34))*($N$117^$N$119)+0.43&lt;=4,(4.82-(5*$B$25/$C$34))*($N$117^$N$119)+0.43,4)),3)</f>
        <v>#NUM!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 t="e">
        <f>+IF($N$120&lt;=0.25,$N$121,$N$122)</f>
        <v>#NUM!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99.14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 t="e">
        <f>ROUND(($N$123*PI()^2*$G$24/(12*(1-$G$26^2)))*(D23/C34)^2,0)</f>
        <v>#NUM!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99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 t="e">
        <f>+ROUND(SQRT($B$108/$N$124),2)</f>
        <v>#NUM!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e">
        <f>+IF(N125&lt;=0.673,"be=b","be=ρ x b")</f>
        <v>#NUM!</v>
      </c>
      <c r="N126" s="38" t="e">
        <f>+IF($N$125&lt;=0.673,$C$34,((1-0.22/$N$125)/$N$125)*$C$34)</f>
        <v>#NUM!</v>
      </c>
      <c r="O126" s="108" t="e">
        <f>+IF(M126="be=b", "Totalmente efectivo", "Parcialmente efectivo")</f>
        <v>#NUM!</v>
      </c>
      <c r="P126" s="108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457.61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0.46500000000000002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1.133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be=b</v>
      </c>
      <c r="E135" s="22">
        <f>+IF($D$135="be=b",$C$33,$L$134*$C$33)</f>
        <v>12.72</v>
      </c>
      <c r="F135" s="108" t="str">
        <f>+IF(D135="be=b", "Totalmente efectivo", "Parcialmente efectivo")</f>
        <v>Totalmente efectivo</v>
      </c>
      <c r="G135" s="108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09" t="str">
        <f>+IF(AND(D116="be=b",D102="be=b",D135="be=b"),"SECCION TOTALMENTE EFECTIVA","SECCION PARCIALMENTE EFECTIVA")</f>
        <v>SECCION TOTALMENTE EFECTIVA</v>
      </c>
      <c r="B137" s="110"/>
      <c r="C137" s="110"/>
      <c r="D137" s="110"/>
      <c r="E137" s="110"/>
      <c r="F137" s="110"/>
      <c r="G137" s="110"/>
      <c r="H137" s="111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8.77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2" t="s">
        <v>105</v>
      </c>
      <c r="B141" s="112"/>
      <c r="C141" s="112"/>
      <c r="D141" s="112"/>
      <c r="E141" s="112"/>
      <c r="F141" s="112"/>
      <c r="G141" s="112"/>
      <c r="H141" s="112"/>
      <c r="I141" s="2"/>
      <c r="J141" s="2"/>
      <c r="K141" s="101" t="s">
        <v>174</v>
      </c>
      <c r="L141" s="2"/>
      <c r="M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/>
      <c r="K142" s="2">
        <v>59.37</v>
      </c>
      <c r="L142" s="101" t="s">
        <v>170</v>
      </c>
      <c r="M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73.903913000000003</v>
      </c>
      <c r="F143" s="2"/>
      <c r="G143" s="2"/>
      <c r="H143" s="60"/>
      <c r="J143" s="101"/>
      <c r="K143" s="103">
        <v>63.87</v>
      </c>
      <c r="L143" s="102" t="s">
        <v>172</v>
      </c>
      <c r="M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8" s="2" customFormat="1" x14ac:dyDescent="0.2">
      <c r="H145" s="77"/>
    </row>
    <row r="146" spans="8:8" s="2" customFormat="1" x14ac:dyDescent="0.2">
      <c r="H146" s="77"/>
    </row>
    <row r="147" spans="8:8" s="2" customFormat="1" x14ac:dyDescent="0.2">
      <c r="H147" s="77"/>
    </row>
    <row r="148" spans="8:8" s="2" customFormat="1" x14ac:dyDescent="0.2">
      <c r="H148" s="77"/>
    </row>
    <row r="149" spans="8:8" s="2" customFormat="1" x14ac:dyDescent="0.2">
      <c r="H149" s="77"/>
    </row>
    <row r="150" spans="8:8" s="2" customFormat="1" x14ac:dyDescent="0.2">
      <c r="H150" s="77"/>
    </row>
    <row r="151" spans="8:8" s="2" customFormat="1" x14ac:dyDescent="0.2">
      <c r="H151" s="77"/>
    </row>
    <row r="152" spans="8:8" s="2" customFormat="1" x14ac:dyDescent="0.2">
      <c r="H152" s="77"/>
    </row>
    <row r="153" spans="8:8" s="2" customFormat="1" x14ac:dyDescent="0.2">
      <c r="H153" s="77"/>
    </row>
    <row r="154" spans="8:8" s="2" customFormat="1" x14ac:dyDescent="0.2">
      <c r="H154" s="77"/>
    </row>
    <row r="155" spans="8:8" s="2" customFormat="1" x14ac:dyDescent="0.2">
      <c r="H155" s="77"/>
    </row>
    <row r="156" spans="8:8" s="2" customFormat="1" x14ac:dyDescent="0.2">
      <c r="H156" s="77"/>
    </row>
    <row r="157" spans="8:8" s="2" customFormat="1" x14ac:dyDescent="0.2">
      <c r="H157" s="77"/>
    </row>
    <row r="158" spans="8:8" s="2" customFormat="1" x14ac:dyDescent="0.2">
      <c r="H158" s="77"/>
    </row>
    <row r="159" spans="8:8" s="2" customFormat="1" x14ac:dyDescent="0.2">
      <c r="H159" s="77"/>
    </row>
    <row r="160" spans="8:8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2:H2"/>
    <mergeCell ref="A3:C3"/>
    <mergeCell ref="A4:C4"/>
    <mergeCell ref="A15:C15"/>
    <mergeCell ref="D15:F15"/>
    <mergeCell ref="G15:H15"/>
    <mergeCell ref="A46:H46"/>
    <mergeCell ref="A21:H21"/>
    <mergeCell ref="A33:B33"/>
    <mergeCell ref="A34:B34"/>
    <mergeCell ref="A35:B35"/>
    <mergeCell ref="A39:H39"/>
    <mergeCell ref="K40:K41"/>
    <mergeCell ref="L40:L41"/>
    <mergeCell ref="I43:I44"/>
    <mergeCell ref="J43:J44"/>
    <mergeCell ref="L43:L44"/>
    <mergeCell ref="I40:I41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F116:G116"/>
    <mergeCell ref="E76:E77"/>
    <mergeCell ref="A79:H79"/>
    <mergeCell ref="A87:H87"/>
    <mergeCell ref="A89:G89"/>
    <mergeCell ref="F102:G102"/>
    <mergeCell ref="A104:H104"/>
    <mergeCell ref="I112:J112"/>
    <mergeCell ref="K112:L112"/>
    <mergeCell ref="M112:T112"/>
    <mergeCell ref="U112:V112"/>
    <mergeCell ref="D114:E114"/>
    <mergeCell ref="A122:G122"/>
    <mergeCell ref="O126:P126"/>
    <mergeCell ref="F135:G135"/>
    <mergeCell ref="A137:H137"/>
    <mergeCell ref="A141:H141"/>
  </mergeCells>
  <conditionalFormatting sqref="A137">
    <cfRule type="containsText" dxfId="62" priority="3" operator="containsText" text="SECCION PARCIALMENTE EFECTIVA">
      <formula>NOT(ISERROR(SEARCH("SECCION PARCIALMENTE EFECTIVA",A137)))</formula>
    </cfRule>
    <cfRule type="containsText" dxfId="61" priority="4" operator="containsText" text="SECCION TOTALMENTE EFECTIVA">
      <formula>NOT(ISERROR(SEARCH("SECCION TOTALMENTE EFECTIVA",A137)))</formula>
    </cfRule>
  </conditionalFormatting>
  <conditionalFormatting sqref="C55 H55">
    <cfRule type="containsText" dxfId="60" priority="13" operator="containsText" text="Ver reglamento">
      <formula>NOT(ISERROR(SEARCH("Ver reglamento",C55)))</formula>
    </cfRule>
    <cfRule type="containsText" dxfId="59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58" priority="15" operator="containsText" text="200 &lt; h/t &lt; 260 - Se requiere rigidizadores de apoyo">
      <formula>NOT(ISERROR(SEARCH("200 &lt; h/t &lt; 260 - Se requiere rigidizadores de apoyo",C55)))</formula>
    </cfRule>
    <cfRule type="containsText" dxfId="57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56" priority="17" operator="containsText" text="VER REGLAMENTO">
      <formula>NOT(ISERROR(SEARCH("VER REGLAMENTO",D51)))</formula>
    </cfRule>
    <cfRule type="containsText" dxfId="55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54" priority="19" operator="containsText" text="&gt; 60 - Elemento NO rigidizado">
      <formula>NOT(ISERROR(SEARCH("&gt; 60 - Elemento NO rigidizado",D50)))</formula>
    </cfRule>
    <cfRule type="containsText" dxfId="53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52" priority="11" operator="containsText" text="Parcialmente efectivo">
      <formula>NOT(ISERROR(SEARCH("Parcialmente efectivo",F102)))</formula>
    </cfRule>
    <cfRule type="containsText" dxfId="51" priority="12" operator="containsText" text="Totalmente efectivo">
      <formula>NOT(ISERROR(SEARCH("Totalmente efectivo",F102)))</formula>
    </cfRule>
  </conditionalFormatting>
  <conditionalFormatting sqref="F116:G116">
    <cfRule type="containsText" dxfId="50" priority="5" operator="containsText" text="Parcialmente efectivo">
      <formula>NOT(ISERROR(SEARCH("Parcialmente efectivo",F116)))</formula>
    </cfRule>
    <cfRule type="containsText" dxfId="49" priority="6" operator="containsText" text="Totalmente efectivo">
      <formula>NOT(ISERROR(SEARCH("Totalmente efectivo",F116)))</formula>
    </cfRule>
  </conditionalFormatting>
  <conditionalFormatting sqref="F135:G135">
    <cfRule type="containsText" dxfId="48" priority="1" operator="containsText" text="Parcialmente efectivo">
      <formula>NOT(ISERROR(SEARCH("Parcialmente efectivo",F135)))</formula>
    </cfRule>
    <cfRule type="containsText" dxfId="47" priority="2" operator="containsText" text="Totalmente efectivo">
      <formula>NOT(ISERROR(SEARCH("Totalmente efectivo",F135)))</formula>
    </cfRule>
  </conditionalFormatting>
  <conditionalFormatting sqref="O121:O122">
    <cfRule type="containsText" dxfId="46" priority="9" operator="containsText" text="NO USAR">
      <formula>NOT(ISERROR(SEARCH("NO USAR",O121)))</formula>
    </cfRule>
    <cfRule type="containsText" dxfId="45" priority="10" operator="containsText" text="USAR">
      <formula>NOT(ISERROR(SEARCH("USAR",O121)))</formula>
    </cfRule>
  </conditionalFormatting>
  <conditionalFormatting sqref="O126:P126">
    <cfRule type="containsText" dxfId="44" priority="7" operator="containsText" text="Parcialmente efectivo">
      <formula>NOT(ISERROR(SEARCH("Parcialmente efectivo",O126)))</formula>
    </cfRule>
    <cfRule type="containsText" dxfId="43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6DEE74E-6A86-4957-A44E-2C987BF30323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5173-3103-477B-9E1C-06DB42E3D0B8}">
  <sheetPr codeName="Hoja1"/>
  <dimension ref="A1:AD351"/>
  <sheetViews>
    <sheetView topLeftCell="A116" zoomScaleNormal="100" workbookViewId="0">
      <selection activeCell="B19" sqref="B19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35" t="s">
        <v>168</v>
      </c>
      <c r="B2" s="135"/>
      <c r="C2" s="135"/>
      <c r="D2" s="135"/>
      <c r="E2" s="135"/>
      <c r="F2" s="135"/>
      <c r="G2" s="135"/>
      <c r="H2" s="135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36"/>
      <c r="B3" s="136"/>
      <c r="C3" s="136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37"/>
      <c r="B4" s="137"/>
      <c r="C4" s="137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38" t="s">
        <v>16</v>
      </c>
      <c r="B15" s="139"/>
      <c r="C15" s="139"/>
      <c r="D15" s="140" t="s">
        <v>148</v>
      </c>
      <c r="E15" s="140"/>
      <c r="F15" s="140"/>
      <c r="G15" s="141"/>
      <c r="H15" s="14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99">
        <v>100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100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99">
        <v>100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100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99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50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2" t="s">
        <v>1</v>
      </c>
      <c r="B21" s="112"/>
      <c r="C21" s="112"/>
      <c r="D21" s="112"/>
      <c r="E21" s="112"/>
      <c r="F21" s="112"/>
      <c r="G21" s="112"/>
      <c r="H21" s="11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0.32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6.9400000000000003E-2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8.77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280.2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45.73</v>
      </c>
      <c r="C29" s="18" t="s">
        <v>15</v>
      </c>
      <c r="D29" s="4">
        <f>+VLOOKUP($D$15,'PERFILES C TERNIUM'!$A$5:$O$41,15,FALSE)</f>
        <v>2.2799999999999998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40.03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11.47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07" t="s">
        <v>20</v>
      </c>
      <c r="B33" s="107"/>
      <c r="C33" s="12">
        <f>+ROUND($B$23-(2*($D$23+$D$23)),2)</f>
        <v>12.72</v>
      </c>
      <c r="D33" s="7"/>
      <c r="E33" s="19" t="s">
        <v>23</v>
      </c>
      <c r="F33" s="12">
        <f>+ROUND($B$23-$D$23,2)</f>
        <v>13.68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07" t="s">
        <v>21</v>
      </c>
      <c r="B34" s="107"/>
      <c r="C34" s="12">
        <f>+ROUND($B$24-(2*($D$23+$D$23)),2)</f>
        <v>4.72</v>
      </c>
      <c r="D34" s="7"/>
      <c r="E34" s="19" t="s">
        <v>24</v>
      </c>
      <c r="F34" s="12">
        <f>+ROUND($B$24-$D$23,2)</f>
        <v>5.68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07" t="s">
        <v>22</v>
      </c>
      <c r="B35" s="107"/>
      <c r="C35" s="12">
        <f>+ROUND($B$25-($D$23+$D$23),2)</f>
        <v>1.36</v>
      </c>
      <c r="D35" s="7"/>
      <c r="E35" s="19" t="s">
        <v>25</v>
      </c>
      <c r="F35" s="12">
        <f>+ROUND($B$25-$D$23/2,2)</f>
        <v>1.84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98"/>
      <c r="B36" s="98"/>
      <c r="C36" s="12"/>
      <c r="D36" s="7"/>
      <c r="E36" s="97" t="s">
        <v>84</v>
      </c>
      <c r="F36" s="12">
        <f>+D30+D23/2</f>
        <v>2.17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98"/>
      <c r="B37" s="98"/>
      <c r="C37" s="12"/>
      <c r="D37" s="7"/>
      <c r="E37" s="97" t="s">
        <v>87</v>
      </c>
      <c r="F37" s="12">
        <f>+D23+D23/2</f>
        <v>0.48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32" t="s">
        <v>72</v>
      </c>
      <c r="B39" s="133"/>
      <c r="C39" s="133"/>
      <c r="D39" s="133"/>
      <c r="E39" s="133"/>
      <c r="F39" s="133"/>
      <c r="G39" s="133"/>
      <c r="H39" s="134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30" t="s">
        <v>81</v>
      </c>
      <c r="J40" s="35">
        <f>F34*(((3*F33^2*F34)+(B19*F35*(6*F33^2-8*F35^2))))</f>
        <v>29565.096140799997</v>
      </c>
      <c r="K40" s="128">
        <f>+ROUND(J40/J41,2)</f>
        <v>2.82</v>
      </c>
      <c r="L40" s="129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2.82</v>
      </c>
      <c r="C41" s="88" t="s">
        <v>80</v>
      </c>
      <c r="D41" s="69"/>
      <c r="E41" s="2"/>
      <c r="F41" s="7"/>
      <c r="G41" s="2"/>
      <c r="H41" s="60"/>
      <c r="I41" s="130"/>
      <c r="J41" s="33">
        <f>+(F33^3+(6*F33^2*F34)+B19*F35*(8*F35^2-12*F33*F35+6*F33^2))</f>
        <v>10498.029055999999</v>
      </c>
      <c r="K41" s="128"/>
      <c r="L41" s="129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-4.99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0.754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0.30499999999999999</v>
      </c>
      <c r="C43" s="88" t="s">
        <v>89</v>
      </c>
      <c r="D43" s="2"/>
      <c r="E43" s="2"/>
      <c r="F43" s="7"/>
      <c r="G43" s="2"/>
      <c r="H43" s="60"/>
      <c r="I43" s="130" t="s">
        <v>92</v>
      </c>
      <c r="J43" s="131">
        <f>+(F33^2*F34^2*D23)/12</f>
        <v>161.00434575360001</v>
      </c>
      <c r="K43" s="35">
        <f>2*F33^3*F34+3*F33^2*F34^2+B19*(48*F35^4+112*F34*F35^3+8*F33*F35^3+48*F33*F34*F35^2+12*F33^2*F35^2+12*F33^2*F34*F35+6*F33^3*F35)</f>
        <v>124355.06409472</v>
      </c>
      <c r="L43" s="130">
        <f>+ROUND(J43*(K43/K44),1)</f>
        <v>1907.2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1907.2</v>
      </c>
      <c r="C44" s="88" t="s">
        <v>91</v>
      </c>
      <c r="D44" s="2"/>
      <c r="E44" s="2"/>
      <c r="F44" s="7"/>
      <c r="G44" s="2"/>
      <c r="H44" s="60"/>
      <c r="I44" s="130"/>
      <c r="J44" s="131"/>
      <c r="K44" s="33">
        <f>6*F33^2*F34+(F33+2*B19*F35)^3-24*B19*F33*F35^2</f>
        <v>10498.029055999999</v>
      </c>
      <c r="L44" s="130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2" t="s">
        <v>35</v>
      </c>
      <c r="B46" s="112"/>
      <c r="C46" s="112"/>
      <c r="D46" s="112"/>
      <c r="E46" s="112"/>
      <c r="F46" s="112"/>
      <c r="G46" s="112"/>
      <c r="H46" s="11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4" t="s">
        <v>30</v>
      </c>
      <c r="B48" s="124"/>
      <c r="C48" s="124"/>
      <c r="D48" s="124"/>
      <c r="E48" s="124"/>
      <c r="F48" s="124"/>
      <c r="G48" s="124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14.749999999999998</v>
      </c>
      <c r="D50" s="125" t="str">
        <f>+IF($C$50&lt;60,"&lt; 60 - Elemento comp. rigidizado vinculado a ala o alma", " &gt; 60 - Elemento NO rigidizado")</f>
        <v>&lt; 60 - Elemento comp. rigidizado vinculado a ala o alma</v>
      </c>
      <c r="E50" s="125"/>
      <c r="F50" s="125"/>
      <c r="G50" s="125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4.25</v>
      </c>
      <c r="D51" s="126" t="str">
        <f>+IF($C$51&lt;60,"&lt; 60 - Elemento no rigidizado", "VER REGLAMENTO")</f>
        <v>&lt; 60 - Elemento no rigidizado</v>
      </c>
      <c r="E51" s="126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4" t="s">
        <v>32</v>
      </c>
      <c r="B53" s="124"/>
      <c r="C53" s="124"/>
      <c r="D53" s="124"/>
      <c r="E53" s="124"/>
      <c r="F53" s="124"/>
      <c r="G53" s="124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99">
        <f>+$C$33/$D$23</f>
        <v>39.75</v>
      </c>
      <c r="C55" s="125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5"/>
      <c r="E55" s="125"/>
      <c r="F55" s="125"/>
      <c r="G55" s="125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27" t="s">
        <v>95</v>
      </c>
      <c r="B57" s="127"/>
      <c r="C57" s="127"/>
      <c r="D57" s="127"/>
      <c r="E57" s="127"/>
      <c r="F57" s="127"/>
      <c r="G57" s="127"/>
      <c r="H57" s="127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21">
        <f>+ROUND((PI()^2*$G$24)/($H$18/$D$29)^2,2)</f>
        <v>1026.1199999999999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21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2" t="s">
        <v>96</v>
      </c>
      <c r="B62" s="112"/>
      <c r="C62" s="112"/>
      <c r="D62" s="112"/>
      <c r="E62" s="112"/>
      <c r="F62" s="112"/>
      <c r="G62" s="112"/>
      <c r="H62" s="11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21">
        <f>+ROUND((PI()^2*$G$24)/($H$17/$D$28)^2,2)</f>
        <v>6301.25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21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23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23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21">
        <f>+ROUND((1/(D25*E67^2)*(G25*B43+((PI()^2*G24*B44)/H19^2))),2)</f>
        <v>2808.49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21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08">
        <f>ROUND(1-(B42/E67)^2,3)</f>
        <v>0.59899999999999998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08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21">
        <f>+ROUND((1/(2*$E$73))*((E64+E70)-((E64+E70)^2-4*E73*E64*E70)^(1/2)),2)</f>
        <v>2286.37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21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2" t="s">
        <v>97</v>
      </c>
      <c r="B79" s="112"/>
      <c r="C79" s="112"/>
      <c r="D79" s="112"/>
      <c r="E79" s="112"/>
      <c r="F79" s="112"/>
      <c r="G79" s="112"/>
      <c r="H79" s="11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1026.1199999999999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0.47899999999999998</v>
      </c>
      <c r="C83" s="99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213.48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2" t="s">
        <v>99</v>
      </c>
      <c r="B87" s="112"/>
      <c r="C87" s="112"/>
      <c r="D87" s="112"/>
      <c r="E87" s="112"/>
      <c r="F87" s="112"/>
      <c r="G87" s="112"/>
      <c r="H87" s="11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07" t="s">
        <v>93</v>
      </c>
      <c r="B89" s="107"/>
      <c r="C89" s="107"/>
      <c r="D89" s="107"/>
      <c r="E89" s="107"/>
      <c r="F89" s="107"/>
      <c r="G89" s="107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213.48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99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4303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0.223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0.06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1.36</v>
      </c>
      <c r="F102" s="108" t="str">
        <f>+IF(D102="be=b", "Totalmente efectivo", "Parcialmente efectivo")</f>
        <v>Totalmente efectivo</v>
      </c>
      <c r="G102" s="108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07" t="s">
        <v>44</v>
      </c>
      <c r="B104" s="107"/>
      <c r="C104" s="107"/>
      <c r="D104" s="107"/>
      <c r="E104" s="107"/>
      <c r="F104" s="107"/>
      <c r="G104" s="107"/>
      <c r="H104" s="12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213.48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39.18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14.749999999999998</v>
      </c>
      <c r="E112" s="20" t="str">
        <f>+IF($D$112&lt;=$F$112,"&lt;","&gt;")</f>
        <v>&gt;</v>
      </c>
      <c r="F112" s="24">
        <f>+ROUND(D110*0.328,2)</f>
        <v>12.85</v>
      </c>
      <c r="G112" s="91" t="s">
        <v>48</v>
      </c>
      <c r="H112" s="62" t="s">
        <v>45</v>
      </c>
      <c r="I112" s="113" t="s">
        <v>49</v>
      </c>
      <c r="J112" s="114"/>
      <c r="K112" s="115" t="s">
        <v>64</v>
      </c>
      <c r="L112" s="116"/>
      <c r="M112" s="117" t="s">
        <v>58</v>
      </c>
      <c r="N112" s="118"/>
      <c r="O112" s="118"/>
      <c r="P112" s="118"/>
      <c r="Q112" s="118"/>
      <c r="R112" s="118"/>
      <c r="S112" s="118"/>
      <c r="T112" s="118"/>
      <c r="U112" s="119" t="s">
        <v>60</v>
      </c>
      <c r="V112" s="120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4.7635089999999999E-4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09" t="str">
        <f>+IF($D$112&lt;=$F$112,$I$112,$K$112)</f>
        <v>Para b/t &gt; 0.328 S</v>
      </c>
      <c r="E114" s="111"/>
      <c r="F114" s="2"/>
      <c r="G114" s="2"/>
      <c r="I114" s="31" t="s">
        <v>51</v>
      </c>
      <c r="J114" s="4">
        <f>+$C$34</f>
        <v>4.72</v>
      </c>
      <c r="K114" s="66" t="str">
        <f>+IF(N125&lt;=0.673,"be=b","be=ρ x b")</f>
        <v>be=b</v>
      </c>
      <c r="L114" s="42">
        <f>+$N$126</f>
        <v>4.72</v>
      </c>
      <c r="M114" s="31" t="s">
        <v>54</v>
      </c>
      <c r="N114" s="36">
        <f>ROUND(399*$D$23^4*(($D$112/$D$110)-0.328)^3,10)</f>
        <v>4.7635089999999999E-4</v>
      </c>
      <c r="O114" s="37" t="str">
        <f>+IF($N$114&lt;=$P$114,"&lt;","&gt;")</f>
        <v>&lt;</v>
      </c>
      <c r="P114" s="34">
        <f>+ROUND($D$23^4*((115*$D$112/$D$110)+5),2)</f>
        <v>0.51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4.7635089999999999E-4</v>
      </c>
      <c r="F115" s="2"/>
      <c r="G115" s="2"/>
      <c r="H115" s="60"/>
      <c r="I115" s="31" t="s">
        <v>59</v>
      </c>
      <c r="J115" s="4">
        <f>+$C$34/2</f>
        <v>2.36</v>
      </c>
      <c r="K115" s="49" t="s">
        <v>65</v>
      </c>
      <c r="L115" s="42">
        <f>+($L$114/2)*$N$117</f>
        <v>2.36</v>
      </c>
      <c r="M115" s="52" t="s">
        <v>50</v>
      </c>
      <c r="N115" s="30">
        <f>+IF($N$114&lt;=$P$114,$N$114,$P$114)</f>
        <v>4.7635089999999999E-4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4.72</v>
      </c>
      <c r="F116" s="108" t="str">
        <f>+IF($D$112&lt;=$F$112,"Totalmente efectivo",IF($N$125&lt;=0.673,"Totalmente efectivo","Parcialmente efectivo"))</f>
        <v>Totalmente efectivo</v>
      </c>
      <c r="G116" s="108"/>
      <c r="H116" s="60"/>
      <c r="I116" s="31" t="s">
        <v>52</v>
      </c>
      <c r="J116" s="4">
        <f>+$C$35</f>
        <v>1.36</v>
      </c>
      <c r="K116" s="49" t="s">
        <v>66</v>
      </c>
      <c r="L116" s="42">
        <f>+$L$114-$L$115</f>
        <v>2.36</v>
      </c>
      <c r="M116" s="53" t="s">
        <v>56</v>
      </c>
      <c r="N116" s="30">
        <f>+ROUND($D$23*$C$35^3/12,3)</f>
        <v>6.7000000000000004E-2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be1=(be/2)*RI</v>
      </c>
      <c r="E117" s="40">
        <f t="shared" si="0"/>
        <v>2.36</v>
      </c>
      <c r="F117" s="2"/>
      <c r="G117" s="2"/>
      <c r="H117" s="60"/>
      <c r="I117" s="50" t="s">
        <v>53</v>
      </c>
      <c r="J117" s="26">
        <f>+$J$116*$D$23</f>
        <v>0.43520000000000003</v>
      </c>
      <c r="K117" s="49" t="s">
        <v>67</v>
      </c>
      <c r="L117" s="42">
        <f>+$C$35*$N$117</f>
        <v>1.36</v>
      </c>
      <c r="M117" s="53" t="s">
        <v>57</v>
      </c>
      <c r="N117" s="30">
        <f>+IF($N$116/$N$115&lt;1,$N$116/$N$115,1)</f>
        <v>1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be2=be-be1</v>
      </c>
      <c r="E118" s="40">
        <f t="shared" si="0"/>
        <v>2.36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0.43520000000000003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ds=d's x RI</v>
      </c>
      <c r="E119" s="40">
        <f t="shared" si="0"/>
        <v>1.36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0.48799999999999999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 t="str">
        <f>+IF($D$112&lt;=$F$112,I118,K118)</f>
        <v>As=A's x RI</v>
      </c>
      <c r="E120" s="55">
        <f t="shared" si="0"/>
        <v>0.43520000000000003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0.42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>
        <f>ROUND(IF((3.57*(N117)^$N$119)+0.43&lt;=4,3.57*(N117)^$N$119+0.43,4),3)</f>
        <v>4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07" t="s">
        <v>102</v>
      </c>
      <c r="B122" s="107"/>
      <c r="C122" s="107"/>
      <c r="D122" s="107"/>
      <c r="E122" s="107"/>
      <c r="F122" s="107"/>
      <c r="G122" s="107"/>
      <c r="H122" s="87" t="s">
        <v>36</v>
      </c>
      <c r="I122" s="2"/>
      <c r="J122" s="2"/>
      <c r="K122" s="2"/>
      <c r="L122" s="2"/>
      <c r="M122" s="47"/>
      <c r="N122" s="45">
        <f>+ROUND((IF((4.82-(5*$B$25/$C$34))*($N$117^$N$119)+0.43&lt;=4,(4.82-(5*$B$25/$C$34))*($N$117^$N$119)+0.43,4)),3)</f>
        <v>3.1309999999999998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>
        <f>+IF($N$120&lt;=0.25,$N$121,$N$122)</f>
        <v>3.1309999999999998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213.48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>
        <f>ROUND(($N$123*PI()^2*$G$24/(12*(1-$G$26^2)))*(D23/C34)^2,0)</f>
        <v>2601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99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>
        <f>+ROUND(SQRT($B$108/$N$124),2)</f>
        <v>0.28999999999999998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str">
        <f>+IF(N125&lt;=0.673,"be=b","be=ρ x b")</f>
        <v>be=b</v>
      </c>
      <c r="N126" s="38">
        <f>+IF($N$125&lt;=0.673,$C$34,((1-0.22/$N$125)/$N$125)*$C$34)</f>
        <v>4.72</v>
      </c>
      <c r="O126" s="108" t="str">
        <f>+IF(M126="be=b", "Totalmente efectivo", "Parcialmente efectivo")</f>
        <v>Totalmente efectivo</v>
      </c>
      <c r="P126" s="108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457.61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0.68300000000000005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0.99299999999999999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be=ρ x b</v>
      </c>
      <c r="E135" s="22">
        <f>+IF($D$135="be=b",$C$33,$L$134*$C$33)</f>
        <v>12.63096</v>
      </c>
      <c r="F135" s="108" t="str">
        <f>+IF(D135="be=b", "Totalmente efectivo", "Parcialmente efectivo")</f>
        <v>Parcialmente efectivo</v>
      </c>
      <c r="G135" s="108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09" t="str">
        <f>+IF(AND(D116="be=b",D102="be=b",D135="be=b"),"SECCION TOTALMENTE EFECTIVA","SECCION PARCIALMENTE EFECTIVA")</f>
        <v>SECCION PARCIALMENTE EFECTIVA</v>
      </c>
      <c r="B137" s="110"/>
      <c r="C137" s="110"/>
      <c r="D137" s="110"/>
      <c r="E137" s="110"/>
      <c r="F137" s="110"/>
      <c r="G137" s="110"/>
      <c r="H137" s="111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8.7415071999999991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2" t="s">
        <v>105</v>
      </c>
      <c r="B141" s="112"/>
      <c r="C141" s="112"/>
      <c r="D141" s="112"/>
      <c r="E141" s="112"/>
      <c r="F141" s="112"/>
      <c r="G141" s="112"/>
      <c r="H141" s="112"/>
      <c r="I141" s="2"/>
      <c r="J141" s="2"/>
      <c r="K141" s="101" t="s">
        <v>173</v>
      </c>
      <c r="L141" s="2"/>
      <c r="M141" s="2"/>
      <c r="N141" s="101" t="s">
        <v>174</v>
      </c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 t="s">
        <v>169</v>
      </c>
      <c r="K142" s="1">
        <v>59.28</v>
      </c>
      <c r="L142" s="102" t="s">
        <v>172</v>
      </c>
      <c r="M142" s="2"/>
      <c r="N142" s="2">
        <v>59.37</v>
      </c>
      <c r="O142" s="101" t="s">
        <v>170</v>
      </c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158.62164134975998</v>
      </c>
      <c r="F143" s="2"/>
      <c r="G143" s="2"/>
      <c r="H143" s="60"/>
      <c r="J143" s="101" t="s">
        <v>171</v>
      </c>
      <c r="K143" s="2">
        <v>61.37</v>
      </c>
      <c r="L143" s="101" t="s">
        <v>170</v>
      </c>
      <c r="M143" s="2"/>
      <c r="N143" s="103">
        <v>63.87</v>
      </c>
      <c r="O143" s="102" t="s">
        <v>172</v>
      </c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8" s="2" customFormat="1" x14ac:dyDescent="0.2">
      <c r="H145" s="77"/>
    </row>
    <row r="146" spans="8:8" s="2" customFormat="1" x14ac:dyDescent="0.2">
      <c r="H146" s="77"/>
    </row>
    <row r="147" spans="8:8" s="2" customFormat="1" x14ac:dyDescent="0.2">
      <c r="H147" s="77"/>
    </row>
    <row r="148" spans="8:8" s="2" customFormat="1" x14ac:dyDescent="0.2">
      <c r="H148" s="77"/>
    </row>
    <row r="149" spans="8:8" s="2" customFormat="1" x14ac:dyDescent="0.2">
      <c r="H149" s="77"/>
    </row>
    <row r="150" spans="8:8" s="2" customFormat="1" x14ac:dyDescent="0.2">
      <c r="H150" s="77"/>
    </row>
    <row r="151" spans="8:8" s="2" customFormat="1" x14ac:dyDescent="0.2">
      <c r="H151" s="77"/>
    </row>
    <row r="152" spans="8:8" s="2" customFormat="1" x14ac:dyDescent="0.2">
      <c r="H152" s="77"/>
    </row>
    <row r="153" spans="8:8" s="2" customFormat="1" x14ac:dyDescent="0.2">
      <c r="H153" s="77"/>
    </row>
    <row r="154" spans="8:8" s="2" customFormat="1" x14ac:dyDescent="0.2">
      <c r="H154" s="77"/>
    </row>
    <row r="155" spans="8:8" s="2" customFormat="1" x14ac:dyDescent="0.2">
      <c r="H155" s="77"/>
    </row>
    <row r="156" spans="8:8" s="2" customFormat="1" x14ac:dyDescent="0.2">
      <c r="H156" s="77"/>
    </row>
    <row r="157" spans="8:8" s="2" customFormat="1" x14ac:dyDescent="0.2">
      <c r="H157" s="77"/>
    </row>
    <row r="158" spans="8:8" s="2" customFormat="1" x14ac:dyDescent="0.2">
      <c r="H158" s="77"/>
    </row>
    <row r="159" spans="8:8" s="2" customFormat="1" x14ac:dyDescent="0.2">
      <c r="H159" s="77"/>
    </row>
    <row r="160" spans="8:8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2:H2"/>
    <mergeCell ref="A3:C3"/>
    <mergeCell ref="A4:C4"/>
    <mergeCell ref="A15:C15"/>
    <mergeCell ref="D15:F15"/>
    <mergeCell ref="G15:H15"/>
    <mergeCell ref="A46:H46"/>
    <mergeCell ref="A21:H21"/>
    <mergeCell ref="A33:B33"/>
    <mergeCell ref="A34:B34"/>
    <mergeCell ref="A35:B35"/>
    <mergeCell ref="A39:H39"/>
    <mergeCell ref="K40:K41"/>
    <mergeCell ref="L40:L41"/>
    <mergeCell ref="I43:I44"/>
    <mergeCell ref="J43:J44"/>
    <mergeCell ref="L43:L44"/>
    <mergeCell ref="I40:I41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F116:G116"/>
    <mergeCell ref="E76:E77"/>
    <mergeCell ref="A79:H79"/>
    <mergeCell ref="A87:H87"/>
    <mergeCell ref="A89:G89"/>
    <mergeCell ref="F102:G102"/>
    <mergeCell ref="A104:H104"/>
    <mergeCell ref="I112:J112"/>
    <mergeCell ref="K112:L112"/>
    <mergeCell ref="M112:T112"/>
    <mergeCell ref="U112:V112"/>
    <mergeCell ref="D114:E114"/>
    <mergeCell ref="A122:G122"/>
    <mergeCell ref="O126:P126"/>
    <mergeCell ref="F135:G135"/>
    <mergeCell ref="A137:H137"/>
    <mergeCell ref="A141:H141"/>
  </mergeCells>
  <conditionalFormatting sqref="A137">
    <cfRule type="containsText" dxfId="42" priority="3" operator="containsText" text="SECCION PARCIALMENTE EFECTIVA">
      <formula>NOT(ISERROR(SEARCH("SECCION PARCIALMENTE EFECTIVA",A137)))</formula>
    </cfRule>
    <cfRule type="containsText" dxfId="41" priority="4" operator="containsText" text="SECCION TOTALMENTE EFECTIVA">
      <formula>NOT(ISERROR(SEARCH("SECCION TOTALMENTE EFECTIVA",A137)))</formula>
    </cfRule>
  </conditionalFormatting>
  <conditionalFormatting sqref="C55 H55">
    <cfRule type="containsText" dxfId="40" priority="13" operator="containsText" text="Ver reglamento">
      <formula>NOT(ISERROR(SEARCH("Ver reglamento",C55)))</formula>
    </cfRule>
    <cfRule type="containsText" dxfId="39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38" priority="15" operator="containsText" text="200 &lt; h/t &lt; 260 - Se requiere rigidizadores de apoyo">
      <formula>NOT(ISERROR(SEARCH("200 &lt; h/t &lt; 260 - Se requiere rigidizadores de apoyo",C55)))</formula>
    </cfRule>
    <cfRule type="containsText" dxfId="37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36" priority="17" operator="containsText" text="VER REGLAMENTO">
      <formula>NOT(ISERROR(SEARCH("VER REGLAMENTO",D51)))</formula>
    </cfRule>
    <cfRule type="containsText" dxfId="35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34" priority="19" operator="containsText" text="&gt; 60 - Elemento NO rigidizado">
      <formula>NOT(ISERROR(SEARCH("&gt; 60 - Elemento NO rigidizado",D50)))</formula>
    </cfRule>
    <cfRule type="containsText" dxfId="33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32" priority="11" operator="containsText" text="Parcialmente efectivo">
      <formula>NOT(ISERROR(SEARCH("Parcialmente efectivo",F102)))</formula>
    </cfRule>
    <cfRule type="containsText" dxfId="31" priority="12" operator="containsText" text="Totalmente efectivo">
      <formula>NOT(ISERROR(SEARCH("Totalmente efectivo",F102)))</formula>
    </cfRule>
  </conditionalFormatting>
  <conditionalFormatting sqref="F116:G116">
    <cfRule type="containsText" dxfId="30" priority="5" operator="containsText" text="Parcialmente efectivo">
      <formula>NOT(ISERROR(SEARCH("Parcialmente efectivo",F116)))</formula>
    </cfRule>
    <cfRule type="containsText" dxfId="29" priority="6" operator="containsText" text="Totalmente efectivo">
      <formula>NOT(ISERROR(SEARCH("Totalmente efectivo",F116)))</formula>
    </cfRule>
  </conditionalFormatting>
  <conditionalFormatting sqref="F135:G135">
    <cfRule type="containsText" dxfId="28" priority="1" operator="containsText" text="Parcialmente efectivo">
      <formula>NOT(ISERROR(SEARCH("Parcialmente efectivo",F135)))</formula>
    </cfRule>
    <cfRule type="containsText" dxfId="27" priority="2" operator="containsText" text="Totalmente efectivo">
      <formula>NOT(ISERROR(SEARCH("Totalmente efectivo",F135)))</formula>
    </cfRule>
  </conditionalFormatting>
  <conditionalFormatting sqref="O121:O122">
    <cfRule type="containsText" dxfId="26" priority="9" operator="containsText" text="NO USAR">
      <formula>NOT(ISERROR(SEARCH("NO USAR",O121)))</formula>
    </cfRule>
    <cfRule type="containsText" dxfId="25" priority="10" operator="containsText" text="USAR">
      <formula>NOT(ISERROR(SEARCH("USAR",O121)))</formula>
    </cfRule>
  </conditionalFormatting>
  <conditionalFormatting sqref="O126:P126">
    <cfRule type="containsText" dxfId="24" priority="7" operator="containsText" text="Parcialmente efectivo">
      <formula>NOT(ISERROR(SEARCH("Parcialmente efectivo",O126)))</formula>
    </cfRule>
    <cfRule type="containsText" dxfId="23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05BA50-31BD-4847-8564-871740E89F58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15B56-0BB2-448E-8006-B06F3208C05B}">
  <sheetPr codeName="Hoja12"/>
  <dimension ref="A1:K32"/>
  <sheetViews>
    <sheetView tabSelected="1" workbookViewId="0">
      <selection activeCell="B26" sqref="B26"/>
    </sheetView>
  </sheetViews>
  <sheetFormatPr baseColWidth="10" defaultRowHeight="15" x14ac:dyDescent="0.25"/>
  <sheetData>
    <row r="1" spans="1:11" x14ac:dyDescent="0.25">
      <c r="A1" t="s">
        <v>176</v>
      </c>
      <c r="B1" t="s">
        <v>177</v>
      </c>
      <c r="C1" t="s">
        <v>169</v>
      </c>
      <c r="D1" t="s">
        <v>171</v>
      </c>
      <c r="E1" t="s">
        <v>247</v>
      </c>
      <c r="F1" t="s">
        <v>248</v>
      </c>
      <c r="I1" t="s">
        <v>245</v>
      </c>
      <c r="J1" t="s">
        <v>224</v>
      </c>
    </row>
    <row r="2" spans="1:11" x14ac:dyDescent="0.25">
      <c r="A2">
        <v>26</v>
      </c>
      <c r="B2" t="s">
        <v>123</v>
      </c>
      <c r="C2" t="s">
        <v>123</v>
      </c>
      <c r="I2" t="s">
        <v>19</v>
      </c>
      <c r="J2">
        <f>VLOOKUP(J1,Angulo!C2:T30,6,FALSE)</f>
        <v>2.37</v>
      </c>
      <c r="K2" t="s">
        <v>211</v>
      </c>
    </row>
    <row r="3" spans="1:11" x14ac:dyDescent="0.25">
      <c r="A3">
        <v>27</v>
      </c>
      <c r="B3">
        <v>0.63</v>
      </c>
      <c r="C3">
        <v>-47.11</v>
      </c>
      <c r="D3">
        <v>50.06</v>
      </c>
      <c r="E3" cm="1">
        <f t="array" ref="E3">ROUND(Pandeo($J$2,$J$3,B3*100)*2,2)</f>
        <v>63.96</v>
      </c>
      <c r="F3">
        <f>ABS(MIN(C3,D3)/E3)</f>
        <v>0.73655409631019386</v>
      </c>
      <c r="I3" t="s">
        <v>246</v>
      </c>
      <c r="J3">
        <f>VLOOKUP(J1,Angulo!C2:T30,18,FALSE)</f>
        <v>0.71</v>
      </c>
      <c r="K3" t="s">
        <v>213</v>
      </c>
    </row>
    <row r="4" spans="1:11" x14ac:dyDescent="0.25">
      <c r="A4">
        <v>28</v>
      </c>
      <c r="B4">
        <v>0.63</v>
      </c>
      <c r="C4">
        <v>-28.15</v>
      </c>
      <c r="D4">
        <v>29.98</v>
      </c>
      <c r="E4" cm="1">
        <f t="array" ref="E4">ROUND(Pandeo($J$2,$J$3,B4*100)*2,2)</f>
        <v>63.96</v>
      </c>
      <c r="F4">
        <f t="shared" ref="F4:F26" si="0">ABS(MIN(C4,D4)/E4)</f>
        <v>0.44011882426516569</v>
      </c>
    </row>
    <row r="5" spans="1:11" x14ac:dyDescent="0.25">
      <c r="A5">
        <v>29</v>
      </c>
      <c r="B5">
        <v>0.63</v>
      </c>
      <c r="C5">
        <v>23.5</v>
      </c>
      <c r="D5">
        <v>-25.07</v>
      </c>
      <c r="E5" cm="1">
        <f t="array" ref="E5">ROUND(Pandeo($J$2,$J$3,B5*100)*2,2)</f>
        <v>63.96</v>
      </c>
      <c r="F5">
        <f t="shared" si="0"/>
        <v>0.39196372732958101</v>
      </c>
    </row>
    <row r="6" spans="1:11" x14ac:dyDescent="0.25">
      <c r="A6">
        <v>30</v>
      </c>
      <c r="B6">
        <v>0.61</v>
      </c>
      <c r="C6">
        <v>-23.88</v>
      </c>
      <c r="D6">
        <v>25.47</v>
      </c>
      <c r="E6" cm="1">
        <f t="array" ref="E6">ROUND(Pandeo($J$2,$J$3,B6*100)*2,2)</f>
        <v>65.540000000000006</v>
      </c>
      <c r="F6">
        <f t="shared" si="0"/>
        <v>0.36435764418675615</v>
      </c>
    </row>
    <row r="7" spans="1:11" x14ac:dyDescent="0.25">
      <c r="A7">
        <v>31</v>
      </c>
      <c r="B7">
        <v>0.61</v>
      </c>
      <c r="C7">
        <v>19.63</v>
      </c>
      <c r="D7">
        <v>-20.99</v>
      </c>
      <c r="E7" cm="1">
        <f t="array" ref="E7">ROUND(Pandeo($J$2,$J$3,B7*100)*2,2)</f>
        <v>65.540000000000006</v>
      </c>
      <c r="F7">
        <f t="shared" si="0"/>
        <v>0.3202624351541043</v>
      </c>
    </row>
    <row r="8" spans="1:11" x14ac:dyDescent="0.25">
      <c r="A8">
        <v>32</v>
      </c>
      <c r="B8">
        <v>1.17</v>
      </c>
      <c r="C8">
        <v>-19.739999999999998</v>
      </c>
      <c r="D8">
        <v>21.11</v>
      </c>
      <c r="E8" cm="1">
        <f t="array" ref="E8">ROUND(Pandeo($J$2,$J$3,B8*100)*2,2)</f>
        <v>25.68</v>
      </c>
      <c r="F8">
        <f t="shared" si="0"/>
        <v>0.76869158878504673</v>
      </c>
    </row>
    <row r="9" spans="1:11" x14ac:dyDescent="0.25">
      <c r="A9">
        <v>33</v>
      </c>
      <c r="B9">
        <v>1.17</v>
      </c>
      <c r="C9">
        <v>15</v>
      </c>
      <c r="D9">
        <v>-16.100000000000001</v>
      </c>
      <c r="E9" cm="1">
        <f t="array" ref="E9">ROUND(Pandeo($J$2,$J$3,B9*100)*2,2)</f>
        <v>25.68</v>
      </c>
      <c r="F9">
        <f t="shared" si="0"/>
        <v>0.62694704049844241</v>
      </c>
    </row>
    <row r="10" spans="1:11" x14ac:dyDescent="0.25">
      <c r="A10">
        <v>34</v>
      </c>
      <c r="B10">
        <v>1.1200000000000001</v>
      </c>
      <c r="C10">
        <v>-15.16</v>
      </c>
      <c r="D10">
        <v>16.27</v>
      </c>
      <c r="E10" cm="1">
        <f t="array" ref="E10">ROUND(Pandeo($J$2,$J$3,B10*100)*2,2)</f>
        <v>28.03</v>
      </c>
      <c r="F10">
        <f t="shared" si="0"/>
        <v>0.54084909026043526</v>
      </c>
    </row>
    <row r="11" spans="1:11" x14ac:dyDescent="0.25">
      <c r="A11">
        <v>35</v>
      </c>
      <c r="B11">
        <v>1.1200000000000001</v>
      </c>
      <c r="C11">
        <v>10.24</v>
      </c>
      <c r="D11">
        <v>-11.08</v>
      </c>
      <c r="E11" cm="1">
        <f t="array" ref="E11">ROUND(Pandeo($J$2,$J$3,B11*100)*2,2)</f>
        <v>28.03</v>
      </c>
      <c r="F11">
        <f t="shared" si="0"/>
        <v>0.39529075990010704</v>
      </c>
    </row>
    <row r="12" spans="1:11" x14ac:dyDescent="0.25">
      <c r="A12">
        <v>36</v>
      </c>
      <c r="B12">
        <v>1.07</v>
      </c>
      <c r="C12">
        <v>-10.35</v>
      </c>
      <c r="D12">
        <v>11.2</v>
      </c>
      <c r="E12" cm="1">
        <f t="array" ref="E12">ROUND(Pandeo($J$2,$J$3,B12*100)*2,2)</f>
        <v>30.71</v>
      </c>
      <c r="F12">
        <f t="shared" si="0"/>
        <v>0.33702377075871048</v>
      </c>
    </row>
    <row r="13" spans="1:11" x14ac:dyDescent="0.25">
      <c r="A13">
        <v>37</v>
      </c>
      <c r="B13">
        <v>1.07</v>
      </c>
      <c r="C13">
        <v>5.12</v>
      </c>
      <c r="D13">
        <v>-5.69</v>
      </c>
      <c r="E13" cm="1">
        <f t="array" ref="E13">ROUND(Pandeo($J$2,$J$3,B13*100)*2,2)</f>
        <v>30.71</v>
      </c>
      <c r="F13">
        <f t="shared" si="0"/>
        <v>0.18528166720937805</v>
      </c>
    </row>
    <row r="14" spans="1:11" x14ac:dyDescent="0.25">
      <c r="A14">
        <v>38</v>
      </c>
      <c r="B14">
        <v>1.03</v>
      </c>
      <c r="C14">
        <v>-5.19</v>
      </c>
      <c r="D14">
        <v>5.76</v>
      </c>
      <c r="E14" cm="1">
        <f t="array" ref="E14">ROUND(Pandeo($J$2,$J$3,B14*100)*2,2)</f>
        <v>33.14</v>
      </c>
      <c r="F14">
        <f t="shared" si="0"/>
        <v>0.15660832830416416</v>
      </c>
    </row>
    <row r="15" spans="1:11" x14ac:dyDescent="0.25">
      <c r="A15">
        <v>39</v>
      </c>
      <c r="B15">
        <v>1.03</v>
      </c>
      <c r="C15">
        <v>-0.37</v>
      </c>
      <c r="D15">
        <v>0.11</v>
      </c>
      <c r="E15" cm="1">
        <f t="array" ref="E15">ROUND(Pandeo($J$2,$J$3,B15*100)*2,2)</f>
        <v>33.14</v>
      </c>
      <c r="F15">
        <f t="shared" si="0"/>
        <v>1.116475558237779E-2</v>
      </c>
    </row>
    <row r="16" spans="1:11" x14ac:dyDescent="0.25">
      <c r="A16">
        <v>40</v>
      </c>
      <c r="B16">
        <v>0.99</v>
      </c>
      <c r="C16">
        <v>0.38</v>
      </c>
      <c r="D16">
        <v>-0.11</v>
      </c>
      <c r="E16" cm="1">
        <f t="array" ref="E16">ROUND(Pandeo($J$2,$J$3,B16*100)*2,2)</f>
        <v>35.869999999999997</v>
      </c>
      <c r="F16">
        <f t="shared" si="0"/>
        <v>3.066629495400056E-3</v>
      </c>
    </row>
    <row r="17" spans="1:6" x14ac:dyDescent="0.25">
      <c r="A17">
        <v>41</v>
      </c>
      <c r="B17">
        <v>0.99</v>
      </c>
      <c r="C17">
        <v>-6.37</v>
      </c>
      <c r="D17">
        <v>6.43</v>
      </c>
      <c r="E17" cm="1">
        <f t="array" ref="E17">ROUND(Pandeo($J$2,$J$3,B17*100)*2,2)</f>
        <v>35.869999999999997</v>
      </c>
      <c r="F17">
        <f t="shared" si="0"/>
        <v>0.17758572623362143</v>
      </c>
    </row>
    <row r="18" spans="1:6" x14ac:dyDescent="0.25">
      <c r="A18">
        <v>42</v>
      </c>
      <c r="B18">
        <v>0.94</v>
      </c>
      <c r="C18">
        <v>6.47</v>
      </c>
      <c r="D18">
        <v>-6.54</v>
      </c>
      <c r="E18" cm="1">
        <f t="array" ref="E18">ROUND(Pandeo($J$2,$J$3,B18*100)*2,2)</f>
        <v>39.53</v>
      </c>
      <c r="F18">
        <f t="shared" si="0"/>
        <v>0.16544396660763977</v>
      </c>
    </row>
    <row r="19" spans="1:6" x14ac:dyDescent="0.25">
      <c r="A19">
        <v>43</v>
      </c>
      <c r="B19">
        <v>0.94</v>
      </c>
      <c r="C19">
        <v>-12.95</v>
      </c>
      <c r="D19">
        <v>13.37</v>
      </c>
      <c r="E19" cm="1">
        <f t="array" ref="E19">ROUND(Pandeo($J$2,$J$3,B19*100)*2,2)</f>
        <v>39.53</v>
      </c>
      <c r="F19">
        <f t="shared" si="0"/>
        <v>0.32759929167720714</v>
      </c>
    </row>
    <row r="20" spans="1:6" x14ac:dyDescent="0.25">
      <c r="A20">
        <v>44</v>
      </c>
      <c r="B20">
        <v>0.9</v>
      </c>
      <c r="C20">
        <v>13.18</v>
      </c>
      <c r="D20">
        <v>-13.61</v>
      </c>
      <c r="E20" cm="1">
        <f t="array" ref="E20">ROUND(Pandeo($J$2,$J$3,B20*100)*2,2)</f>
        <v>42.51</v>
      </c>
      <c r="F20">
        <f t="shared" si="0"/>
        <v>0.32015996236179722</v>
      </c>
    </row>
    <row r="21" spans="1:6" x14ac:dyDescent="0.25">
      <c r="A21">
        <v>45</v>
      </c>
      <c r="B21">
        <v>0.9</v>
      </c>
      <c r="C21">
        <v>-20.39</v>
      </c>
      <c r="D21">
        <v>21.21</v>
      </c>
      <c r="E21" cm="1">
        <f t="array" ref="E21">ROUND(Pandeo($J$2,$J$3,B21*100)*2,2)</f>
        <v>42.51</v>
      </c>
      <c r="F21">
        <f t="shared" si="0"/>
        <v>0.4796518466243237</v>
      </c>
    </row>
    <row r="22" spans="1:6" x14ac:dyDescent="0.25">
      <c r="A22">
        <v>46</v>
      </c>
      <c r="B22">
        <v>0.86</v>
      </c>
      <c r="C22">
        <v>20.91</v>
      </c>
      <c r="D22">
        <v>-21.76</v>
      </c>
      <c r="E22" cm="1">
        <f t="array" ref="E22">ROUND(Pandeo($J$2,$J$3,B22*100)*2,2)</f>
        <v>45.58</v>
      </c>
      <c r="F22">
        <f t="shared" si="0"/>
        <v>0.47740236946028963</v>
      </c>
    </row>
    <row r="23" spans="1:6" x14ac:dyDescent="0.25">
      <c r="A23">
        <v>47</v>
      </c>
      <c r="B23">
        <v>0.86</v>
      </c>
      <c r="C23">
        <v>-28.53</v>
      </c>
      <c r="D23">
        <v>29.79</v>
      </c>
      <c r="E23" cm="1">
        <f t="array" ref="E23">ROUND(Pandeo($J$2,$J$3,B23*100)*2,2)</f>
        <v>45.58</v>
      </c>
      <c r="F23">
        <f t="shared" si="0"/>
        <v>0.62593242650285219</v>
      </c>
    </row>
    <row r="24" spans="1:6" x14ac:dyDescent="0.25">
      <c r="A24">
        <v>48</v>
      </c>
      <c r="B24">
        <v>0.82</v>
      </c>
      <c r="C24">
        <v>29.08</v>
      </c>
      <c r="D24">
        <v>-30.36</v>
      </c>
      <c r="E24" cm="1">
        <f t="array" ref="E24">ROUND(Pandeo($J$2,$J$3,B24*100)*2,2)</f>
        <v>48.71</v>
      </c>
      <c r="F24">
        <f t="shared" si="0"/>
        <v>0.62328064052555943</v>
      </c>
    </row>
    <row r="25" spans="1:6" x14ac:dyDescent="0.25">
      <c r="A25">
        <v>49</v>
      </c>
      <c r="B25">
        <v>0.82</v>
      </c>
      <c r="C25">
        <v>-36.619999999999997</v>
      </c>
      <c r="D25">
        <v>40.409999999999997</v>
      </c>
      <c r="E25" cm="1">
        <f t="array" ref="E25">ROUND(Pandeo($J$2,$J$3,B25*100)*2,2)</f>
        <v>48.71</v>
      </c>
      <c r="F25">
        <f t="shared" si="0"/>
        <v>0.75179634571956466</v>
      </c>
    </row>
    <row r="26" spans="1:6" x14ac:dyDescent="0.25">
      <c r="A26">
        <v>50</v>
      </c>
      <c r="B26">
        <v>0.36</v>
      </c>
      <c r="C26">
        <v>-78.05</v>
      </c>
      <c r="D26">
        <v>85.26</v>
      </c>
      <c r="E26" cm="1">
        <f t="array" ref="E26">ROUND(Pandeo($J$2,$J$3,B26*100)*2,2)</f>
        <v>83.3</v>
      </c>
      <c r="F26">
        <f t="shared" si="0"/>
        <v>0.93697478991596639</v>
      </c>
    </row>
    <row r="27" spans="1:6" x14ac:dyDescent="0.25">
      <c r="A27">
        <v>51</v>
      </c>
      <c r="B27" t="s">
        <v>123</v>
      </c>
    </row>
    <row r="28" spans="1:6" x14ac:dyDescent="0.25">
      <c r="A28">
        <v>52</v>
      </c>
      <c r="B28">
        <v>0.63</v>
      </c>
    </row>
    <row r="29" spans="1:6" x14ac:dyDescent="0.25">
      <c r="A29">
        <v>53</v>
      </c>
      <c r="B29">
        <v>0.63</v>
      </c>
    </row>
    <row r="30" spans="1:6" x14ac:dyDescent="0.25">
      <c r="A30">
        <v>54</v>
      </c>
      <c r="B30">
        <v>0.63</v>
      </c>
    </row>
    <row r="31" spans="1:6" x14ac:dyDescent="0.25">
      <c r="A31">
        <v>55</v>
      </c>
      <c r="B31">
        <v>0.61</v>
      </c>
    </row>
    <row r="32" spans="1:6" x14ac:dyDescent="0.25">
      <c r="A32">
        <v>56</v>
      </c>
      <c r="B32">
        <v>0.36</v>
      </c>
    </row>
  </sheetData>
  <conditionalFormatting sqref="C1:D1048576 E1">
    <cfRule type="cellIs" dxfId="22" priority="2" operator="lessThan">
      <formula>0</formula>
    </cfRule>
  </conditionalFormatting>
  <conditionalFormatting sqref="F1:F1048576">
    <cfRule type="cellIs" dxfId="21" priority="1" operator="greaterThan">
      <formula>1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B7FD78-B778-4B84-960B-7545FAB68F02}">
          <x14:formula1>
            <xm:f>Angulo!$C$2:$C$30</xm:f>
          </x14:formula1>
          <xm:sqref>J1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78757-DB7B-47EA-A400-82E7E2955703}">
  <sheetPr codeName="Hoja5"/>
  <dimension ref="A1:AD351"/>
  <sheetViews>
    <sheetView topLeftCell="A118" zoomScaleNormal="100" workbookViewId="0">
      <selection activeCell="K36" sqref="K36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35" t="s">
        <v>168</v>
      </c>
      <c r="B2" s="135"/>
      <c r="C2" s="135"/>
      <c r="D2" s="135"/>
      <c r="E2" s="135"/>
      <c r="F2" s="135"/>
      <c r="G2" s="135"/>
      <c r="H2" s="135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36"/>
      <c r="B3" s="136"/>
      <c r="C3" s="136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37"/>
      <c r="B4" s="137"/>
      <c r="C4" s="137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38" t="s">
        <v>16</v>
      </c>
      <c r="B15" s="139"/>
      <c r="C15" s="139"/>
      <c r="D15" s="140" t="s">
        <v>148</v>
      </c>
      <c r="E15" s="140"/>
      <c r="F15" s="140"/>
      <c r="G15" s="141"/>
      <c r="H15" s="14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105">
        <v>120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120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105">
        <v>120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120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105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60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2" t="s">
        <v>1</v>
      </c>
      <c r="B21" s="112"/>
      <c r="C21" s="112"/>
      <c r="D21" s="112"/>
      <c r="E21" s="112"/>
      <c r="F21" s="112"/>
      <c r="G21" s="112"/>
      <c r="H21" s="11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0.32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6.9400000000000003E-2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8.77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280.2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45.73</v>
      </c>
      <c r="C29" s="18" t="s">
        <v>15</v>
      </c>
      <c r="D29" s="4">
        <f>+VLOOKUP($D$15,'PERFILES C TERNIUM'!$A$5:$O$41,15,FALSE)</f>
        <v>2.2799999999999998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40.03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11.47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07" t="s">
        <v>20</v>
      </c>
      <c r="B33" s="107"/>
      <c r="C33" s="12">
        <f>+ROUND($B$23-(2*($D$23+$D$23)),2)</f>
        <v>12.72</v>
      </c>
      <c r="D33" s="7"/>
      <c r="E33" s="19" t="s">
        <v>23</v>
      </c>
      <c r="F33" s="12">
        <f>+ROUND($B$23-$D$23,2)</f>
        <v>13.68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07" t="s">
        <v>21</v>
      </c>
      <c r="B34" s="107"/>
      <c r="C34" s="12">
        <f>+ROUND($B$24-(2*($D$23+$D$23)),2)</f>
        <v>4.72</v>
      </c>
      <c r="D34" s="7"/>
      <c r="E34" s="19" t="s">
        <v>24</v>
      </c>
      <c r="F34" s="12">
        <f>+ROUND($B$24-$D$23,2)</f>
        <v>5.68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07" t="s">
        <v>22</v>
      </c>
      <c r="B35" s="107"/>
      <c r="C35" s="12">
        <f>+ROUND($B$25-($D$23+$D$23),2)</f>
        <v>1.36</v>
      </c>
      <c r="D35" s="7"/>
      <c r="E35" s="19" t="s">
        <v>25</v>
      </c>
      <c r="F35" s="12">
        <f>+ROUND($B$25-$D$23/2,2)</f>
        <v>1.84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106"/>
      <c r="B36" s="106"/>
      <c r="C36" s="12"/>
      <c r="D36" s="7"/>
      <c r="E36" s="104" t="s">
        <v>84</v>
      </c>
      <c r="F36" s="12">
        <f>+D30+D23/2</f>
        <v>2.17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106"/>
      <c r="B37" s="106"/>
      <c r="C37" s="12"/>
      <c r="D37" s="7"/>
      <c r="E37" s="104" t="s">
        <v>87</v>
      </c>
      <c r="F37" s="12">
        <f>+D23+D23/2</f>
        <v>0.48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32" t="s">
        <v>72</v>
      </c>
      <c r="B39" s="133"/>
      <c r="C39" s="133"/>
      <c r="D39" s="133"/>
      <c r="E39" s="133"/>
      <c r="F39" s="133"/>
      <c r="G39" s="133"/>
      <c r="H39" s="134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30" t="s">
        <v>81</v>
      </c>
      <c r="J40" s="35">
        <f>F34*(((3*F33^2*F34)+(B19*F35*(6*F33^2-8*F35^2))))</f>
        <v>29565.096140799997</v>
      </c>
      <c r="K40" s="128">
        <f>+ROUND(J40/J41,2)</f>
        <v>2.82</v>
      </c>
      <c r="L40" s="129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2.82</v>
      </c>
      <c r="C41" s="88" t="s">
        <v>80</v>
      </c>
      <c r="D41" s="69"/>
      <c r="E41" s="2"/>
      <c r="F41" s="7"/>
      <c r="G41" s="2"/>
      <c r="H41" s="60"/>
      <c r="I41" s="130"/>
      <c r="J41" s="33">
        <f>+(F33^3+(6*F33^2*F34)+B19*F35*(8*F35^2-12*F33*F35+6*F33^2))</f>
        <v>10498.029055999999</v>
      </c>
      <c r="K41" s="128"/>
      <c r="L41" s="129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-4.99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0.754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0.30499999999999999</v>
      </c>
      <c r="C43" s="88" t="s">
        <v>89</v>
      </c>
      <c r="D43" s="2"/>
      <c r="E43" s="2"/>
      <c r="F43" s="7"/>
      <c r="G43" s="2"/>
      <c r="H43" s="60"/>
      <c r="I43" s="130" t="s">
        <v>92</v>
      </c>
      <c r="J43" s="131">
        <f>+(F33^2*F34^2*D23)/12</f>
        <v>161.00434575360001</v>
      </c>
      <c r="K43" s="35">
        <f>2*F33^3*F34+3*F33^2*F34^2+B19*(48*F35^4+112*F34*F35^3+8*F33*F35^3+48*F33*F34*F35^2+12*F33^2*F35^2+12*F33^2*F34*F35+6*F33^3*F35)</f>
        <v>124355.06409472</v>
      </c>
      <c r="L43" s="130">
        <f>+ROUND(J43*(K43/K44),1)</f>
        <v>1907.2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1907.2</v>
      </c>
      <c r="C44" s="88" t="s">
        <v>91</v>
      </c>
      <c r="D44" s="2"/>
      <c r="E44" s="2"/>
      <c r="F44" s="7"/>
      <c r="G44" s="2"/>
      <c r="H44" s="60"/>
      <c r="I44" s="130"/>
      <c r="J44" s="131"/>
      <c r="K44" s="33">
        <f>6*F33^2*F34+(F33+2*B19*F35)^3-24*B19*F33*F35^2</f>
        <v>10498.029055999999</v>
      </c>
      <c r="L44" s="130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2" t="s">
        <v>35</v>
      </c>
      <c r="B46" s="112"/>
      <c r="C46" s="112"/>
      <c r="D46" s="112"/>
      <c r="E46" s="112"/>
      <c r="F46" s="112"/>
      <c r="G46" s="112"/>
      <c r="H46" s="11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4" t="s">
        <v>30</v>
      </c>
      <c r="B48" s="124"/>
      <c r="C48" s="124"/>
      <c r="D48" s="124"/>
      <c r="E48" s="124"/>
      <c r="F48" s="124"/>
      <c r="G48" s="124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14.749999999999998</v>
      </c>
      <c r="D50" s="125" t="str">
        <f>+IF($C$50&lt;60,"&lt; 60 - Elemento comp. rigidizado vinculado a ala o alma", " &gt; 60 - Elemento NO rigidizado")</f>
        <v>&lt; 60 - Elemento comp. rigidizado vinculado a ala o alma</v>
      </c>
      <c r="E50" s="125"/>
      <c r="F50" s="125"/>
      <c r="G50" s="125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4.25</v>
      </c>
      <c r="D51" s="126" t="str">
        <f>+IF($C$51&lt;60,"&lt; 60 - Elemento no rigidizado", "VER REGLAMENTO")</f>
        <v>&lt; 60 - Elemento no rigidizado</v>
      </c>
      <c r="E51" s="126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4" t="s">
        <v>32</v>
      </c>
      <c r="B53" s="124"/>
      <c r="C53" s="124"/>
      <c r="D53" s="124"/>
      <c r="E53" s="124"/>
      <c r="F53" s="124"/>
      <c r="G53" s="124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105">
        <f>+$C$33/$D$23</f>
        <v>39.75</v>
      </c>
      <c r="C55" s="125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5"/>
      <c r="E55" s="125"/>
      <c r="F55" s="125"/>
      <c r="G55" s="125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27" t="s">
        <v>95</v>
      </c>
      <c r="B57" s="127"/>
      <c r="C57" s="127"/>
      <c r="D57" s="127"/>
      <c r="E57" s="127"/>
      <c r="F57" s="127"/>
      <c r="G57" s="127"/>
      <c r="H57" s="127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21">
        <f>+ROUND((PI()^2*$G$24)/($H$18/$D$29)^2,2)</f>
        <v>712.59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21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2" t="s">
        <v>96</v>
      </c>
      <c r="B62" s="112"/>
      <c r="C62" s="112"/>
      <c r="D62" s="112"/>
      <c r="E62" s="112"/>
      <c r="F62" s="112"/>
      <c r="G62" s="112"/>
      <c r="H62" s="11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21">
        <f>+ROUND((PI()^2*$G$24)/($H$17/$D$28)^2,2)</f>
        <v>4375.87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21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23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23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21">
        <f>+ROUND((1/(D25*E67^2)*(G25*B43+((PI()^2*G24*B44)/H19^2))),2)</f>
        <v>1963.55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21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08">
        <f>ROUND(1-(B42/E67)^2,3)</f>
        <v>0.59899999999999998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08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21">
        <f>+ROUND((1/(2*$E$73))*((E64+E70)-((E64+E70)^2-4*E73*E64*E70)^(1/2)),2)</f>
        <v>1596.07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21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2" t="s">
        <v>97</v>
      </c>
      <c r="B79" s="112"/>
      <c r="C79" s="112"/>
      <c r="D79" s="112"/>
      <c r="E79" s="112"/>
      <c r="F79" s="112"/>
      <c r="G79" s="112"/>
      <c r="H79" s="11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712.59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0.57399999999999995</v>
      </c>
      <c r="C83" s="105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204.73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2" t="s">
        <v>99</v>
      </c>
      <c r="B87" s="112"/>
      <c r="C87" s="112"/>
      <c r="D87" s="112"/>
      <c r="E87" s="112"/>
      <c r="F87" s="112"/>
      <c r="G87" s="112"/>
      <c r="H87" s="11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07" t="s">
        <v>93</v>
      </c>
      <c r="B89" s="107"/>
      <c r="C89" s="107"/>
      <c r="D89" s="107"/>
      <c r="E89" s="107"/>
      <c r="F89" s="107"/>
      <c r="G89" s="107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204.73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105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4303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0.218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-0.04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1.36</v>
      </c>
      <c r="F102" s="108" t="str">
        <f>+IF(D102="be=b", "Totalmente efectivo", "Parcialmente efectivo")</f>
        <v>Totalmente efectivo</v>
      </c>
      <c r="G102" s="108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07" t="s">
        <v>44</v>
      </c>
      <c r="B104" s="107"/>
      <c r="C104" s="107"/>
      <c r="D104" s="107"/>
      <c r="E104" s="107"/>
      <c r="F104" s="107"/>
      <c r="G104" s="107"/>
      <c r="H104" s="12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204.73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40.01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14.749999999999998</v>
      </c>
      <c r="E112" s="20" t="str">
        <f>+IF($D$112&lt;=$F$112,"&lt;","&gt;")</f>
        <v>&gt;</v>
      </c>
      <c r="F112" s="24">
        <f>+ROUND(D110*0.328,2)</f>
        <v>13.12</v>
      </c>
      <c r="G112" s="91" t="s">
        <v>48</v>
      </c>
      <c r="H112" s="62" t="s">
        <v>45</v>
      </c>
      <c r="I112" s="113" t="s">
        <v>49</v>
      </c>
      <c r="J112" s="114"/>
      <c r="K112" s="115" t="s">
        <v>64</v>
      </c>
      <c r="L112" s="116"/>
      <c r="M112" s="117" t="s">
        <v>58</v>
      </c>
      <c r="N112" s="118"/>
      <c r="O112" s="118"/>
      <c r="P112" s="118"/>
      <c r="Q112" s="118"/>
      <c r="R112" s="118"/>
      <c r="S112" s="118"/>
      <c r="T112" s="118"/>
      <c r="U112" s="119" t="s">
        <v>60</v>
      </c>
      <c r="V112" s="120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2.8119370000000002E-4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09" t="str">
        <f>+IF($D$112&lt;=$F$112,$I$112,$K$112)</f>
        <v>Para b/t &gt; 0.328 S</v>
      </c>
      <c r="E114" s="111"/>
      <c r="F114" s="2"/>
      <c r="G114" s="2"/>
      <c r="I114" s="31" t="s">
        <v>51</v>
      </c>
      <c r="J114" s="4">
        <f>+$C$34</f>
        <v>4.72</v>
      </c>
      <c r="K114" s="66" t="str">
        <f>+IF(N125&lt;=0.673,"be=b","be=ρ x b")</f>
        <v>be=b</v>
      </c>
      <c r="L114" s="42">
        <f>+$N$126</f>
        <v>4.72</v>
      </c>
      <c r="M114" s="31" t="s">
        <v>54</v>
      </c>
      <c r="N114" s="36">
        <f>ROUND(399*$D$23^4*(($D$112/$D$110)-0.328)^3,10)</f>
        <v>2.8119370000000002E-4</v>
      </c>
      <c r="O114" s="37" t="str">
        <f>+IF($N$114&lt;=$P$114,"&lt;","&gt;")</f>
        <v>&lt;</v>
      </c>
      <c r="P114" s="34">
        <f>+ROUND($D$23^4*((115*$D$112/$D$110)+5),2)</f>
        <v>0.5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2.8119370000000002E-4</v>
      </c>
      <c r="F115" s="2"/>
      <c r="G115" s="2"/>
      <c r="H115" s="60"/>
      <c r="I115" s="31" t="s">
        <v>59</v>
      </c>
      <c r="J115" s="4">
        <f>+$C$34/2</f>
        <v>2.36</v>
      </c>
      <c r="K115" s="49" t="s">
        <v>65</v>
      </c>
      <c r="L115" s="42">
        <f>+($L$114/2)*$N$117</f>
        <v>2.36</v>
      </c>
      <c r="M115" s="52" t="s">
        <v>50</v>
      </c>
      <c r="N115" s="30">
        <f>+IF($N$114&lt;=$P$114,$N$114,$P$114)</f>
        <v>2.8119370000000002E-4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4.72</v>
      </c>
      <c r="F116" s="108" t="str">
        <f>+IF($D$112&lt;=$F$112,"Totalmente efectivo",IF($N$125&lt;=0.673,"Totalmente efectivo","Parcialmente efectivo"))</f>
        <v>Totalmente efectivo</v>
      </c>
      <c r="G116" s="108"/>
      <c r="H116" s="60"/>
      <c r="I116" s="31" t="s">
        <v>52</v>
      </c>
      <c r="J116" s="4">
        <f>+$C$35</f>
        <v>1.36</v>
      </c>
      <c r="K116" s="49" t="s">
        <v>66</v>
      </c>
      <c r="L116" s="42">
        <f>+$L$114-$L$115</f>
        <v>2.36</v>
      </c>
      <c r="M116" s="53" t="s">
        <v>56</v>
      </c>
      <c r="N116" s="30">
        <f>+ROUND($D$23*$C$35^3/12,3)</f>
        <v>6.7000000000000004E-2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be1=(be/2)*RI</v>
      </c>
      <c r="E117" s="40">
        <f t="shared" si="0"/>
        <v>2.36</v>
      </c>
      <c r="F117" s="2"/>
      <c r="G117" s="2"/>
      <c r="H117" s="60"/>
      <c r="I117" s="50" t="s">
        <v>53</v>
      </c>
      <c r="J117" s="26">
        <f>+$J$116*$D$23</f>
        <v>0.43520000000000003</v>
      </c>
      <c r="K117" s="49" t="s">
        <v>67</v>
      </c>
      <c r="L117" s="42">
        <f>+$C$35*$N$117</f>
        <v>1.36</v>
      </c>
      <c r="M117" s="53" t="s">
        <v>57</v>
      </c>
      <c r="N117" s="30">
        <f>+IF($N$116/$N$115&lt;1,$N$116/$N$115,1)</f>
        <v>1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be2=be-be1</v>
      </c>
      <c r="E118" s="40">
        <f t="shared" si="0"/>
        <v>2.36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0.43520000000000003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ds=d's x RI</v>
      </c>
      <c r="E119" s="40">
        <f t="shared" si="0"/>
        <v>1.36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0.49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 t="str">
        <f>+IF($D$112&lt;=$F$112,I118,K118)</f>
        <v>As=A's x RI</v>
      </c>
      <c r="E120" s="55">
        <f t="shared" si="0"/>
        <v>0.43520000000000003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0.42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>
        <f>ROUND(IF((3.57*(N117)^$N$119)+0.43&lt;=4,3.57*(N117)^$N$119+0.43,4),3)</f>
        <v>4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07" t="s">
        <v>102</v>
      </c>
      <c r="B122" s="107"/>
      <c r="C122" s="107"/>
      <c r="D122" s="107"/>
      <c r="E122" s="107"/>
      <c r="F122" s="107"/>
      <c r="G122" s="107"/>
      <c r="H122" s="87" t="s">
        <v>36</v>
      </c>
      <c r="I122" s="2"/>
      <c r="J122" s="2"/>
      <c r="K122" s="2"/>
      <c r="L122" s="2"/>
      <c r="M122" s="47"/>
      <c r="N122" s="45">
        <f>+ROUND((IF((4.82-(5*$B$25/$C$34))*($N$117^$N$119)+0.43&lt;=4,(4.82-(5*$B$25/$C$34))*($N$117^$N$119)+0.43,4)),3)</f>
        <v>3.1309999999999998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>
        <f>+IF($N$120&lt;=0.25,$N$121,$N$122)</f>
        <v>3.1309999999999998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204.73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>
        <f>ROUND(($N$123*PI()^2*$G$24/(12*(1-$G$26^2)))*(D23/C34)^2,0)</f>
        <v>2601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105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>
        <f>+ROUND(SQRT($B$108/$N$124),2)</f>
        <v>0.28000000000000003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str">
        <f>+IF(N125&lt;=0.673,"be=b","be=ρ x b")</f>
        <v>be=b</v>
      </c>
      <c r="N126" s="38">
        <f>+IF($N$125&lt;=0.673,$C$34,((1-0.22/$N$125)/$N$125)*$C$34)</f>
        <v>4.72</v>
      </c>
      <c r="O126" s="108" t="str">
        <f>+IF(M126="be=b", "Totalmente efectivo", "Parcialmente efectivo")</f>
        <v>Totalmente efectivo</v>
      </c>
      <c r="P126" s="108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457.61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0.66900000000000004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1.0029999999999999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be=b</v>
      </c>
      <c r="E135" s="22">
        <f>+IF($D$135="be=b",$C$33,$L$134*$C$33)</f>
        <v>12.72</v>
      </c>
      <c r="F135" s="108" t="str">
        <f>+IF(D135="be=b", "Totalmente efectivo", "Parcialmente efectivo")</f>
        <v>Totalmente efectivo</v>
      </c>
      <c r="G135" s="108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09" t="str">
        <f>+IF(AND(D116="be=b",D102="be=b",D135="be=b"),"SECCION TOTALMENTE EFECTIVA","SECCION PARCIALMENTE EFECTIVA")</f>
        <v>SECCION TOTALMENTE EFECTIVA</v>
      </c>
      <c r="B137" s="110"/>
      <c r="C137" s="110"/>
      <c r="D137" s="110"/>
      <c r="E137" s="110"/>
      <c r="F137" s="110"/>
      <c r="G137" s="110"/>
      <c r="H137" s="111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8.77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2" t="s">
        <v>105</v>
      </c>
      <c r="B141" s="112"/>
      <c r="C141" s="112"/>
      <c r="D141" s="112"/>
      <c r="E141" s="112"/>
      <c r="F141" s="112"/>
      <c r="G141" s="112"/>
      <c r="H141" s="112"/>
      <c r="I141" s="2"/>
      <c r="J141" s="2"/>
      <c r="K141" s="101"/>
      <c r="L141" s="2"/>
      <c r="M141" s="2"/>
      <c r="N141" s="101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/>
      <c r="L142" s="102" t="s">
        <v>250</v>
      </c>
      <c r="M142" s="2"/>
      <c r="N142" s="2"/>
      <c r="O142" s="101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152.61597849999998</v>
      </c>
      <c r="F143" s="2"/>
      <c r="G143" s="2"/>
      <c r="H143" s="60"/>
      <c r="J143" s="101"/>
      <c r="K143" s="2"/>
      <c r="L143" s="101">
        <v>44.19</v>
      </c>
      <c r="M143" s="101" t="s">
        <v>172</v>
      </c>
      <c r="N143" s="147"/>
      <c r="O143" s="10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8" s="2" customFormat="1" x14ac:dyDescent="0.2">
      <c r="H145" s="77"/>
    </row>
    <row r="146" spans="8:8" s="2" customFormat="1" x14ac:dyDescent="0.2">
      <c r="H146" s="77"/>
    </row>
    <row r="147" spans="8:8" s="2" customFormat="1" x14ac:dyDescent="0.2">
      <c r="H147" s="77"/>
    </row>
    <row r="148" spans="8:8" s="2" customFormat="1" x14ac:dyDescent="0.2">
      <c r="H148" s="77"/>
    </row>
    <row r="149" spans="8:8" s="2" customFormat="1" x14ac:dyDescent="0.2">
      <c r="H149" s="77"/>
    </row>
    <row r="150" spans="8:8" s="2" customFormat="1" x14ac:dyDescent="0.2">
      <c r="H150" s="77"/>
    </row>
    <row r="151" spans="8:8" s="2" customFormat="1" x14ac:dyDescent="0.2">
      <c r="H151" s="77"/>
    </row>
    <row r="152" spans="8:8" s="2" customFormat="1" x14ac:dyDescent="0.2">
      <c r="H152" s="77"/>
    </row>
    <row r="153" spans="8:8" s="2" customFormat="1" x14ac:dyDescent="0.2">
      <c r="H153" s="77"/>
    </row>
    <row r="154" spans="8:8" s="2" customFormat="1" x14ac:dyDescent="0.2">
      <c r="H154" s="77"/>
    </row>
    <row r="155" spans="8:8" s="2" customFormat="1" x14ac:dyDescent="0.2">
      <c r="H155" s="77"/>
    </row>
    <row r="156" spans="8:8" s="2" customFormat="1" x14ac:dyDescent="0.2">
      <c r="H156" s="77"/>
    </row>
    <row r="157" spans="8:8" s="2" customFormat="1" x14ac:dyDescent="0.2">
      <c r="H157" s="77"/>
    </row>
    <row r="158" spans="8:8" s="2" customFormat="1" x14ac:dyDescent="0.2">
      <c r="H158" s="77"/>
    </row>
    <row r="159" spans="8:8" s="2" customFormat="1" x14ac:dyDescent="0.2">
      <c r="H159" s="77"/>
    </row>
    <row r="160" spans="8:8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122:G122"/>
    <mergeCell ref="O126:P126"/>
    <mergeCell ref="F135:G135"/>
    <mergeCell ref="A137:H137"/>
    <mergeCell ref="A141:H141"/>
    <mergeCell ref="I112:J112"/>
    <mergeCell ref="K112:L112"/>
    <mergeCell ref="M112:T112"/>
    <mergeCell ref="U112:V112"/>
    <mergeCell ref="D114:E114"/>
    <mergeCell ref="F116:G116"/>
    <mergeCell ref="E76:E77"/>
    <mergeCell ref="A79:H79"/>
    <mergeCell ref="A87:H87"/>
    <mergeCell ref="A89:G89"/>
    <mergeCell ref="F102:G102"/>
    <mergeCell ref="A104:H104"/>
    <mergeCell ref="B59:B60"/>
    <mergeCell ref="A62:H62"/>
    <mergeCell ref="E64:E65"/>
    <mergeCell ref="E67:E68"/>
    <mergeCell ref="E70:E71"/>
    <mergeCell ref="E73:E74"/>
    <mergeCell ref="A48:G48"/>
    <mergeCell ref="D50:G50"/>
    <mergeCell ref="D51:E51"/>
    <mergeCell ref="A53:G53"/>
    <mergeCell ref="C55:G55"/>
    <mergeCell ref="A57:H57"/>
    <mergeCell ref="K40:K41"/>
    <mergeCell ref="L40:L41"/>
    <mergeCell ref="I43:I44"/>
    <mergeCell ref="J43:J44"/>
    <mergeCell ref="L43:L44"/>
    <mergeCell ref="A46:H46"/>
    <mergeCell ref="A21:H21"/>
    <mergeCell ref="A33:B33"/>
    <mergeCell ref="A34:B34"/>
    <mergeCell ref="A35:B35"/>
    <mergeCell ref="A39:H39"/>
    <mergeCell ref="I40:I41"/>
    <mergeCell ref="A2:H2"/>
    <mergeCell ref="A3:C3"/>
    <mergeCell ref="A4:C4"/>
    <mergeCell ref="A15:C15"/>
    <mergeCell ref="D15:F15"/>
    <mergeCell ref="G15:H15"/>
  </mergeCells>
  <conditionalFormatting sqref="A137">
    <cfRule type="containsText" dxfId="19" priority="3" operator="containsText" text="SECCION PARCIALMENTE EFECTIVA">
      <formula>NOT(ISERROR(SEARCH("SECCION PARCIALMENTE EFECTIVA",A137)))</formula>
    </cfRule>
    <cfRule type="containsText" dxfId="18" priority="4" operator="containsText" text="SECCION TOTALMENTE EFECTIVA">
      <formula>NOT(ISERROR(SEARCH("SECCION TOTALMENTE EFECTIVA",A137)))</formula>
    </cfRule>
  </conditionalFormatting>
  <conditionalFormatting sqref="C55 H55">
    <cfRule type="containsText" dxfId="17" priority="13" operator="containsText" text="Ver reglamento">
      <formula>NOT(ISERROR(SEARCH("Ver reglamento",C55)))</formula>
    </cfRule>
    <cfRule type="containsText" dxfId="16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15" priority="15" operator="containsText" text="200 &lt; h/t &lt; 260 - Se requiere rigidizadores de apoyo">
      <formula>NOT(ISERROR(SEARCH("200 &lt; h/t &lt; 260 - Se requiere rigidizadores de apoyo",C55)))</formula>
    </cfRule>
    <cfRule type="containsText" dxfId="14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13" priority="17" operator="containsText" text="VER REGLAMENTO">
      <formula>NOT(ISERROR(SEARCH("VER REGLAMENTO",D51)))</formula>
    </cfRule>
    <cfRule type="containsText" dxfId="12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11" priority="19" operator="containsText" text="&gt; 60 - Elemento NO rigidizado">
      <formula>NOT(ISERROR(SEARCH("&gt; 60 - Elemento NO rigidizado",D50)))</formula>
    </cfRule>
    <cfRule type="containsText" dxfId="10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9" priority="11" operator="containsText" text="Parcialmente efectivo">
      <formula>NOT(ISERROR(SEARCH("Parcialmente efectivo",F102)))</formula>
    </cfRule>
    <cfRule type="containsText" dxfId="8" priority="12" operator="containsText" text="Totalmente efectivo">
      <formula>NOT(ISERROR(SEARCH("Totalmente efectivo",F102)))</formula>
    </cfRule>
  </conditionalFormatting>
  <conditionalFormatting sqref="F116:G116">
    <cfRule type="containsText" dxfId="7" priority="5" operator="containsText" text="Parcialmente efectivo">
      <formula>NOT(ISERROR(SEARCH("Parcialmente efectivo",F116)))</formula>
    </cfRule>
    <cfRule type="containsText" dxfId="6" priority="6" operator="containsText" text="Totalmente efectivo">
      <formula>NOT(ISERROR(SEARCH("Totalmente efectivo",F116)))</formula>
    </cfRule>
  </conditionalFormatting>
  <conditionalFormatting sqref="F135:G135">
    <cfRule type="containsText" dxfId="5" priority="1" operator="containsText" text="Parcialmente efectivo">
      <formula>NOT(ISERROR(SEARCH("Parcialmente efectivo",F135)))</formula>
    </cfRule>
    <cfRule type="containsText" dxfId="4" priority="2" operator="containsText" text="Totalmente efectivo">
      <formula>NOT(ISERROR(SEARCH("Totalmente efectivo",F135)))</formula>
    </cfRule>
  </conditionalFormatting>
  <conditionalFormatting sqref="O121:O122">
    <cfRule type="containsText" dxfId="3" priority="9" operator="containsText" text="NO USAR">
      <formula>NOT(ISERROR(SEARCH("NO USAR",O121)))</formula>
    </cfRule>
    <cfRule type="containsText" dxfId="2" priority="10" operator="containsText" text="USAR">
      <formula>NOT(ISERROR(SEARCH("USAR",O121)))</formula>
    </cfRule>
  </conditionalFormatting>
  <conditionalFormatting sqref="O126:P126">
    <cfRule type="containsText" dxfId="1" priority="7" operator="containsText" text="Parcialmente efectivo">
      <formula>NOT(ISERROR(SEARCH("Parcialmente efectivo",O126)))</formula>
    </cfRule>
    <cfRule type="containsText" dxfId="0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3B2912-980D-4AD7-B1C1-BE1EB457A777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1715-B4EE-4389-A259-E6061002C620}">
  <sheetPr codeName="Hoja2"/>
  <dimension ref="A1:T34"/>
  <sheetViews>
    <sheetView topLeftCell="J1" workbookViewId="0">
      <selection activeCell="C34" sqref="C34:T34"/>
    </sheetView>
  </sheetViews>
  <sheetFormatPr baseColWidth="10" defaultRowHeight="15" x14ac:dyDescent="0.25"/>
  <cols>
    <col min="3" max="3" width="10.7109375" bestFit="1" customWidth="1"/>
    <col min="4" max="4" width="7.28515625" bestFit="1" customWidth="1"/>
    <col min="5" max="5" width="9.7109375" bestFit="1" customWidth="1"/>
    <col min="6" max="6" width="18.7109375" bestFit="1" customWidth="1"/>
    <col min="7" max="7" width="10.7109375" bestFit="1" customWidth="1"/>
    <col min="8" max="8" width="17.28515625" bestFit="1" customWidth="1"/>
    <col min="9" max="9" width="35.28515625" bestFit="1" customWidth="1"/>
    <col min="10" max="10" width="31.7109375" bestFit="1" customWidth="1"/>
    <col min="11" max="11" width="10.7109375" bestFit="1" customWidth="1"/>
    <col min="12" max="12" width="11.7109375" bestFit="1" customWidth="1"/>
    <col min="13" max="13" width="21.7109375" bestFit="1" customWidth="1"/>
    <col min="14" max="15" width="11.7109375" bestFit="1" customWidth="1"/>
    <col min="16" max="16" width="19.7109375" bestFit="1" customWidth="1"/>
    <col min="17" max="17" width="11.7109375" bestFit="1" customWidth="1"/>
    <col min="18" max="18" width="15" bestFit="1" customWidth="1"/>
    <col min="19" max="20" width="11.7109375" bestFit="1" customWidth="1"/>
  </cols>
  <sheetData>
    <row r="1" spans="1:20" x14ac:dyDescent="0.25">
      <c r="C1" t="s">
        <v>178</v>
      </c>
      <c r="D1" t="s">
        <v>179</v>
      </c>
      <c r="E1" t="s">
        <v>107</v>
      </c>
      <c r="F1" t="s">
        <v>180</v>
      </c>
      <c r="G1" t="s">
        <v>181</v>
      </c>
      <c r="H1" t="s">
        <v>182</v>
      </c>
      <c r="I1" t="s">
        <v>183</v>
      </c>
      <c r="J1" t="s">
        <v>184</v>
      </c>
      <c r="K1" t="s">
        <v>185</v>
      </c>
      <c r="L1" t="s">
        <v>186</v>
      </c>
      <c r="M1" t="s">
        <v>187</v>
      </c>
      <c r="N1" t="s">
        <v>188</v>
      </c>
      <c r="O1" t="s">
        <v>189</v>
      </c>
      <c r="P1" t="s">
        <v>190</v>
      </c>
      <c r="Q1" t="s">
        <v>191</v>
      </c>
      <c r="R1" t="s">
        <v>192</v>
      </c>
      <c r="S1" t="s">
        <v>193</v>
      </c>
      <c r="T1" t="s">
        <v>194</v>
      </c>
    </row>
    <row r="2" spans="1:20" x14ac:dyDescent="0.25">
      <c r="A2" t="s">
        <v>216</v>
      </c>
      <c r="C2" t="s">
        <v>216</v>
      </c>
      <c r="D2">
        <v>12.7</v>
      </c>
      <c r="E2">
        <v>3.2</v>
      </c>
      <c r="F2">
        <v>4</v>
      </c>
      <c r="G2">
        <v>2</v>
      </c>
      <c r="H2">
        <v>0.71</v>
      </c>
      <c r="I2">
        <v>0.56000000000000005</v>
      </c>
      <c r="J2">
        <v>0.42</v>
      </c>
      <c r="K2">
        <v>0.95</v>
      </c>
      <c r="L2">
        <v>0.62</v>
      </c>
      <c r="M2">
        <v>0.19</v>
      </c>
      <c r="N2">
        <v>0.08</v>
      </c>
      <c r="O2">
        <v>0.28999999999999998</v>
      </c>
      <c r="P2">
        <v>0.1</v>
      </c>
      <c r="Q2">
        <v>0.08</v>
      </c>
      <c r="R2">
        <v>0.35</v>
      </c>
      <c r="S2">
        <v>0.45</v>
      </c>
      <c r="T2">
        <v>0.24</v>
      </c>
    </row>
    <row r="3" spans="1:20" x14ac:dyDescent="0.25">
      <c r="A3" t="s">
        <v>217</v>
      </c>
      <c r="C3" t="s">
        <v>217</v>
      </c>
      <c r="D3">
        <v>15.9</v>
      </c>
      <c r="E3">
        <v>3.2</v>
      </c>
      <c r="F3">
        <v>4</v>
      </c>
      <c r="G3">
        <v>2</v>
      </c>
      <c r="H3">
        <v>0.94</v>
      </c>
      <c r="I3">
        <v>0.74</v>
      </c>
      <c r="J3">
        <v>0.5</v>
      </c>
      <c r="K3">
        <v>1.1299999999999999</v>
      </c>
      <c r="L3">
        <v>0.71</v>
      </c>
      <c r="M3">
        <v>0.2</v>
      </c>
      <c r="N3">
        <v>0.08</v>
      </c>
      <c r="O3">
        <v>0.31</v>
      </c>
      <c r="P3">
        <v>0.18</v>
      </c>
      <c r="Q3">
        <v>0.12</v>
      </c>
      <c r="R3">
        <v>0.46</v>
      </c>
      <c r="S3">
        <v>0.56999999999999995</v>
      </c>
      <c r="T3">
        <v>0.3</v>
      </c>
    </row>
    <row r="4" spans="1:20" x14ac:dyDescent="0.25">
      <c r="A4" t="s">
        <v>218</v>
      </c>
      <c r="C4" t="s">
        <v>218</v>
      </c>
      <c r="D4">
        <v>19.100000000000001</v>
      </c>
      <c r="E4">
        <v>3.2</v>
      </c>
      <c r="F4">
        <v>4</v>
      </c>
      <c r="G4">
        <v>2</v>
      </c>
      <c r="H4">
        <v>1.1299999999999999</v>
      </c>
      <c r="I4">
        <v>0.89</v>
      </c>
      <c r="J4">
        <v>0.57999999999999996</v>
      </c>
      <c r="K4">
        <v>1.34</v>
      </c>
      <c r="L4">
        <v>0.82</v>
      </c>
      <c r="M4">
        <v>0.35</v>
      </c>
      <c r="N4">
        <v>0.14000000000000001</v>
      </c>
      <c r="O4">
        <v>0.55000000000000004</v>
      </c>
      <c r="P4">
        <v>0.26</v>
      </c>
      <c r="Q4">
        <v>0.18</v>
      </c>
      <c r="R4">
        <v>0.55000000000000004</v>
      </c>
      <c r="S4">
        <v>0.7</v>
      </c>
      <c r="T4">
        <v>0.36</v>
      </c>
    </row>
    <row r="5" spans="1:20" x14ac:dyDescent="0.25">
      <c r="A5" t="s">
        <v>219</v>
      </c>
      <c r="C5" t="s">
        <v>219</v>
      </c>
      <c r="D5">
        <v>22.2</v>
      </c>
      <c r="E5">
        <v>3.2</v>
      </c>
      <c r="F5">
        <v>4</v>
      </c>
      <c r="G5">
        <v>2</v>
      </c>
      <c r="H5">
        <v>1.32</v>
      </c>
      <c r="I5">
        <v>1.04</v>
      </c>
      <c r="J5">
        <v>0.65</v>
      </c>
      <c r="K5">
        <v>1.56</v>
      </c>
      <c r="L5">
        <v>0.92</v>
      </c>
      <c r="M5">
        <v>0.56000000000000005</v>
      </c>
      <c r="N5">
        <v>0.23</v>
      </c>
      <c r="O5">
        <v>0.89</v>
      </c>
      <c r="P5">
        <v>0.36</v>
      </c>
      <c r="Q5">
        <v>0.25</v>
      </c>
      <c r="R5">
        <v>0.65</v>
      </c>
      <c r="S5">
        <v>0.82</v>
      </c>
      <c r="T5">
        <v>0.42</v>
      </c>
    </row>
    <row r="6" spans="1:20" x14ac:dyDescent="0.25">
      <c r="A6" t="s">
        <v>220</v>
      </c>
      <c r="C6" t="s">
        <v>220</v>
      </c>
      <c r="D6">
        <v>25.4</v>
      </c>
      <c r="E6">
        <v>3.2</v>
      </c>
      <c r="F6">
        <v>4</v>
      </c>
      <c r="G6">
        <v>2</v>
      </c>
      <c r="H6">
        <v>1.51</v>
      </c>
      <c r="I6">
        <v>1.19</v>
      </c>
      <c r="J6">
        <v>0.73</v>
      </c>
      <c r="K6">
        <v>1.77</v>
      </c>
      <c r="L6">
        <v>1.03</v>
      </c>
      <c r="M6">
        <v>0.84</v>
      </c>
      <c r="N6">
        <v>0.34</v>
      </c>
      <c r="O6">
        <v>1.34</v>
      </c>
      <c r="P6">
        <v>0.48</v>
      </c>
      <c r="Q6">
        <v>0.34</v>
      </c>
      <c r="R6">
        <v>0.75</v>
      </c>
      <c r="S6">
        <v>0.94</v>
      </c>
      <c r="T6">
        <v>0.48</v>
      </c>
    </row>
    <row r="7" spans="1:20" x14ac:dyDescent="0.25">
      <c r="A7" t="s">
        <v>221</v>
      </c>
      <c r="C7" t="s">
        <v>222</v>
      </c>
      <c r="D7">
        <v>31.8</v>
      </c>
      <c r="E7">
        <v>3.2</v>
      </c>
      <c r="F7">
        <v>5</v>
      </c>
      <c r="G7">
        <v>2.5</v>
      </c>
      <c r="H7">
        <v>1.97</v>
      </c>
      <c r="I7">
        <v>1.55</v>
      </c>
      <c r="J7">
        <v>0.89</v>
      </c>
      <c r="K7">
        <v>2.2599999999999998</v>
      </c>
      <c r="L7">
        <v>1.26</v>
      </c>
      <c r="M7">
        <v>1.83</v>
      </c>
      <c r="N7">
        <v>0.72</v>
      </c>
      <c r="O7">
        <v>2.93</v>
      </c>
      <c r="P7">
        <v>0.79</v>
      </c>
      <c r="Q7">
        <v>0.56999999999999995</v>
      </c>
      <c r="R7">
        <v>0.96</v>
      </c>
      <c r="S7">
        <v>1.22</v>
      </c>
      <c r="T7">
        <v>0.61</v>
      </c>
    </row>
    <row r="8" spans="1:20" x14ac:dyDescent="0.25">
      <c r="A8" t="s">
        <v>222</v>
      </c>
      <c r="C8" t="s">
        <v>221</v>
      </c>
      <c r="D8">
        <v>25.4</v>
      </c>
      <c r="E8">
        <v>4.8</v>
      </c>
      <c r="F8">
        <v>4</v>
      </c>
      <c r="G8">
        <v>2</v>
      </c>
      <c r="H8">
        <v>2.19</v>
      </c>
      <c r="I8">
        <v>1.72</v>
      </c>
      <c r="J8">
        <v>0.79</v>
      </c>
      <c r="K8">
        <v>1.77</v>
      </c>
      <c r="L8">
        <v>1.1100000000000001</v>
      </c>
      <c r="M8">
        <v>1.17</v>
      </c>
      <c r="N8">
        <v>0.5</v>
      </c>
      <c r="O8">
        <v>1.84</v>
      </c>
      <c r="P8">
        <v>0.68</v>
      </c>
      <c r="Q8">
        <v>0.45</v>
      </c>
      <c r="R8">
        <v>0.73</v>
      </c>
      <c r="S8">
        <v>0.92</v>
      </c>
      <c r="T8">
        <v>0.48</v>
      </c>
    </row>
    <row r="9" spans="1:20" x14ac:dyDescent="0.25">
      <c r="A9" t="s">
        <v>223</v>
      </c>
      <c r="C9" t="s">
        <v>224</v>
      </c>
      <c r="D9">
        <v>38.1</v>
      </c>
      <c r="E9">
        <v>3.2</v>
      </c>
      <c r="F9">
        <v>6</v>
      </c>
      <c r="G9">
        <v>3</v>
      </c>
      <c r="H9">
        <v>2.37</v>
      </c>
      <c r="I9">
        <v>1.86</v>
      </c>
      <c r="J9">
        <v>1.03</v>
      </c>
      <c r="K9">
        <v>2.69</v>
      </c>
      <c r="L9">
        <v>1.46</v>
      </c>
      <c r="M9">
        <v>3.11</v>
      </c>
      <c r="N9">
        <v>1.2</v>
      </c>
      <c r="O9">
        <v>5.0199999999999996</v>
      </c>
      <c r="P9">
        <v>1.1200000000000001</v>
      </c>
      <c r="Q9">
        <v>0.82</v>
      </c>
      <c r="R9">
        <v>1.1499999999999999</v>
      </c>
      <c r="S9">
        <v>1.46</v>
      </c>
      <c r="T9">
        <v>0.71</v>
      </c>
    </row>
    <row r="10" spans="1:20" x14ac:dyDescent="0.25">
      <c r="A10" t="s">
        <v>224</v>
      </c>
      <c r="C10" t="s">
        <v>227</v>
      </c>
      <c r="D10">
        <v>44.5</v>
      </c>
      <c r="E10">
        <v>3.2</v>
      </c>
      <c r="F10">
        <v>7</v>
      </c>
      <c r="G10">
        <v>3.5</v>
      </c>
      <c r="H10">
        <v>2.83</v>
      </c>
      <c r="I10">
        <v>2.2200000000000002</v>
      </c>
      <c r="J10">
        <v>1.19</v>
      </c>
      <c r="K10">
        <v>3.18</v>
      </c>
      <c r="L10">
        <v>1.68</v>
      </c>
      <c r="M10">
        <v>5.24</v>
      </c>
      <c r="N10">
        <v>1.98</v>
      </c>
      <c r="O10">
        <v>8.5</v>
      </c>
      <c r="P10">
        <v>1.58</v>
      </c>
      <c r="Q10">
        <v>1.18</v>
      </c>
      <c r="R10">
        <v>1.36</v>
      </c>
      <c r="S10">
        <v>1.73</v>
      </c>
      <c r="T10">
        <v>0.84</v>
      </c>
    </row>
    <row r="11" spans="1:20" x14ac:dyDescent="0.25">
      <c r="A11" t="s">
        <v>225</v>
      </c>
      <c r="C11" t="s">
        <v>223</v>
      </c>
      <c r="D11">
        <v>31.8</v>
      </c>
      <c r="E11">
        <v>4.8</v>
      </c>
      <c r="F11">
        <v>5</v>
      </c>
      <c r="G11">
        <v>2.5</v>
      </c>
      <c r="H11">
        <v>2.87</v>
      </c>
      <c r="I11">
        <v>2.25</v>
      </c>
      <c r="J11">
        <v>0.96</v>
      </c>
      <c r="K11">
        <v>2.2599999999999998</v>
      </c>
      <c r="L11">
        <v>1.35</v>
      </c>
      <c r="M11">
        <v>2.58</v>
      </c>
      <c r="N11">
        <v>1.06</v>
      </c>
      <c r="O11">
        <v>4.0999999999999996</v>
      </c>
      <c r="P11">
        <v>1.1499999999999999</v>
      </c>
      <c r="Q11">
        <v>0.78</v>
      </c>
      <c r="R11">
        <v>0.95</v>
      </c>
      <c r="S11">
        <v>1.2</v>
      </c>
      <c r="T11">
        <v>0.61</v>
      </c>
    </row>
    <row r="12" spans="1:20" x14ac:dyDescent="0.25">
      <c r="A12" t="s">
        <v>226</v>
      </c>
      <c r="C12" t="s">
        <v>230</v>
      </c>
      <c r="D12">
        <v>50.8</v>
      </c>
      <c r="E12">
        <v>3.2</v>
      </c>
      <c r="F12">
        <v>7</v>
      </c>
      <c r="G12">
        <v>3.5</v>
      </c>
      <c r="H12">
        <v>3.21</v>
      </c>
      <c r="I12">
        <v>2.52</v>
      </c>
      <c r="J12">
        <v>1.34</v>
      </c>
      <c r="K12">
        <v>3.16</v>
      </c>
      <c r="L12">
        <v>1.89</v>
      </c>
      <c r="M12">
        <v>7.76</v>
      </c>
      <c r="N12">
        <v>2.95</v>
      </c>
      <c r="O12">
        <v>12.58</v>
      </c>
      <c r="P12">
        <v>2.0699999999999998</v>
      </c>
      <c r="Q12">
        <v>1.56</v>
      </c>
      <c r="R12">
        <v>1.55</v>
      </c>
      <c r="S12">
        <v>1.98</v>
      </c>
      <c r="T12">
        <v>0.96</v>
      </c>
    </row>
    <row r="13" spans="1:20" x14ac:dyDescent="0.25">
      <c r="A13" t="s">
        <v>227</v>
      </c>
      <c r="C13" t="s">
        <v>225</v>
      </c>
      <c r="D13">
        <v>38.1</v>
      </c>
      <c r="E13">
        <v>4.8</v>
      </c>
      <c r="F13">
        <v>6</v>
      </c>
      <c r="G13">
        <v>3</v>
      </c>
      <c r="H13">
        <v>3.46</v>
      </c>
      <c r="I13">
        <v>2.71</v>
      </c>
      <c r="J13">
        <v>1.1000000000000001</v>
      </c>
      <c r="K13">
        <v>2.69</v>
      </c>
      <c r="L13">
        <v>1.56</v>
      </c>
      <c r="M13">
        <v>4.45</v>
      </c>
      <c r="N13">
        <v>1.78</v>
      </c>
      <c r="O13">
        <v>7.12</v>
      </c>
      <c r="P13">
        <v>1.65</v>
      </c>
      <c r="Q13">
        <v>1.1399999999999999</v>
      </c>
      <c r="R13">
        <v>1.1299999999999999</v>
      </c>
      <c r="S13">
        <v>1.44</v>
      </c>
      <c r="T13">
        <v>0.72</v>
      </c>
    </row>
    <row r="14" spans="1:20" x14ac:dyDescent="0.25">
      <c r="A14" t="s">
        <v>228</v>
      </c>
      <c r="C14" t="s">
        <v>228</v>
      </c>
      <c r="D14">
        <v>44.5</v>
      </c>
      <c r="E14">
        <v>4.8</v>
      </c>
      <c r="F14">
        <v>7</v>
      </c>
      <c r="G14">
        <v>3.5</v>
      </c>
      <c r="H14">
        <v>4.1399999999999997</v>
      </c>
      <c r="I14">
        <v>3.25</v>
      </c>
      <c r="J14">
        <v>1.27</v>
      </c>
      <c r="K14">
        <v>3.18</v>
      </c>
      <c r="L14">
        <v>1.79</v>
      </c>
      <c r="M14">
        <v>7.57</v>
      </c>
      <c r="N14">
        <v>2.97</v>
      </c>
      <c r="O14">
        <v>12.17</v>
      </c>
      <c r="P14">
        <v>2.34</v>
      </c>
      <c r="Q14">
        <v>1.66</v>
      </c>
      <c r="R14">
        <v>1.35</v>
      </c>
      <c r="S14">
        <v>1.71</v>
      </c>
      <c r="T14">
        <v>0.85</v>
      </c>
    </row>
    <row r="15" spans="1:20" x14ac:dyDescent="0.25">
      <c r="A15" t="s">
        <v>229</v>
      </c>
      <c r="C15" t="s">
        <v>226</v>
      </c>
      <c r="D15">
        <v>38.1</v>
      </c>
      <c r="E15">
        <v>6.4</v>
      </c>
      <c r="F15">
        <v>6</v>
      </c>
      <c r="G15">
        <v>3</v>
      </c>
      <c r="H15">
        <v>4.49</v>
      </c>
      <c r="I15">
        <v>3.53</v>
      </c>
      <c r="J15">
        <v>1.17</v>
      </c>
      <c r="K15">
        <v>2.69</v>
      </c>
      <c r="L15">
        <v>1.65</v>
      </c>
      <c r="M15">
        <v>5.63</v>
      </c>
      <c r="N15">
        <v>2.33</v>
      </c>
      <c r="O15">
        <v>8.93</v>
      </c>
      <c r="P15">
        <v>2.14</v>
      </c>
      <c r="Q15">
        <v>1.42</v>
      </c>
      <c r="R15">
        <v>1.1200000000000001</v>
      </c>
      <c r="S15">
        <v>1.41</v>
      </c>
      <c r="T15">
        <v>0.72</v>
      </c>
    </row>
    <row r="16" spans="1:20" x14ac:dyDescent="0.25">
      <c r="A16" t="s">
        <v>230</v>
      </c>
      <c r="C16" t="s">
        <v>231</v>
      </c>
      <c r="D16">
        <v>50.8</v>
      </c>
      <c r="E16">
        <v>4.8</v>
      </c>
      <c r="F16">
        <v>7</v>
      </c>
      <c r="G16">
        <v>3.5</v>
      </c>
      <c r="H16">
        <v>4.72</v>
      </c>
      <c r="I16">
        <v>3.7</v>
      </c>
      <c r="J16">
        <v>1.42</v>
      </c>
      <c r="K16">
        <v>3.61</v>
      </c>
      <c r="L16">
        <v>2</v>
      </c>
      <c r="M16">
        <v>11.26</v>
      </c>
      <c r="N16">
        <v>4.41</v>
      </c>
      <c r="O16">
        <v>18.12</v>
      </c>
      <c r="P16">
        <v>3.06</v>
      </c>
      <c r="Q16">
        <v>2.2000000000000002</v>
      </c>
      <c r="R16">
        <v>1.54</v>
      </c>
      <c r="S16">
        <v>1.96</v>
      </c>
      <c r="T16">
        <v>0.97</v>
      </c>
    </row>
    <row r="17" spans="1:20" x14ac:dyDescent="0.25">
      <c r="A17" t="s">
        <v>231</v>
      </c>
      <c r="C17" t="s">
        <v>233</v>
      </c>
      <c r="D17">
        <v>57.2</v>
      </c>
      <c r="E17">
        <v>4.8</v>
      </c>
      <c r="F17">
        <v>8</v>
      </c>
      <c r="G17">
        <v>4</v>
      </c>
      <c r="H17">
        <v>5.31</v>
      </c>
      <c r="I17">
        <v>4.17</v>
      </c>
      <c r="J17">
        <v>1.56</v>
      </c>
      <c r="K17">
        <v>4.03</v>
      </c>
      <c r="L17">
        <v>2.2000000000000002</v>
      </c>
      <c r="M17">
        <v>15.88</v>
      </c>
      <c r="N17">
        <v>6.13</v>
      </c>
      <c r="O17">
        <v>25.64</v>
      </c>
      <c r="P17">
        <v>3.84</v>
      </c>
      <c r="Q17">
        <v>2.79</v>
      </c>
      <c r="R17">
        <v>1.73</v>
      </c>
      <c r="S17">
        <v>2.2000000000000002</v>
      </c>
      <c r="T17">
        <v>1.07</v>
      </c>
    </row>
    <row r="18" spans="1:20" x14ac:dyDescent="0.25">
      <c r="A18" t="s">
        <v>232</v>
      </c>
      <c r="C18" t="s">
        <v>229</v>
      </c>
      <c r="D18">
        <v>44.5</v>
      </c>
      <c r="E18">
        <v>6.4</v>
      </c>
      <c r="F18">
        <v>7</v>
      </c>
      <c r="G18">
        <v>3.5</v>
      </c>
      <c r="H18">
        <v>5.4</v>
      </c>
      <c r="I18">
        <v>4.24</v>
      </c>
      <c r="J18">
        <v>1.34</v>
      </c>
      <c r="K18">
        <v>3.18</v>
      </c>
      <c r="L18">
        <v>1.88</v>
      </c>
      <c r="M18">
        <v>9.67</v>
      </c>
      <c r="N18">
        <v>3.9</v>
      </c>
      <c r="O18">
        <v>15.43</v>
      </c>
      <c r="P18">
        <v>3.06</v>
      </c>
      <c r="Q18">
        <v>2.0699999999999998</v>
      </c>
      <c r="R18">
        <v>1.34</v>
      </c>
      <c r="S18">
        <v>1.69</v>
      </c>
      <c r="T18">
        <v>0.85</v>
      </c>
    </row>
    <row r="19" spans="1:20" x14ac:dyDescent="0.25">
      <c r="A19" t="s">
        <v>233</v>
      </c>
      <c r="C19" t="s">
        <v>235</v>
      </c>
      <c r="D19">
        <v>63.5</v>
      </c>
      <c r="E19">
        <v>4.8</v>
      </c>
      <c r="F19">
        <v>9</v>
      </c>
      <c r="G19">
        <v>4.5</v>
      </c>
      <c r="H19">
        <v>6</v>
      </c>
      <c r="I19">
        <v>4.71</v>
      </c>
      <c r="J19">
        <v>1.72</v>
      </c>
      <c r="K19">
        <v>4.53</v>
      </c>
      <c r="L19">
        <v>2.4300000000000002</v>
      </c>
      <c r="M19">
        <v>22.7</v>
      </c>
      <c r="N19">
        <v>8.65</v>
      </c>
      <c r="O19">
        <v>36.76</v>
      </c>
      <c r="P19">
        <v>4.8499999999999996</v>
      </c>
      <c r="Q19">
        <v>3.56</v>
      </c>
      <c r="R19">
        <v>1.95</v>
      </c>
      <c r="S19">
        <v>2.48</v>
      </c>
      <c r="T19">
        <v>1.2</v>
      </c>
    </row>
    <row r="20" spans="1:20" x14ac:dyDescent="0.25">
      <c r="A20" t="s">
        <v>234</v>
      </c>
      <c r="C20" t="s">
        <v>232</v>
      </c>
      <c r="D20">
        <v>50.8</v>
      </c>
      <c r="E20">
        <v>6.4</v>
      </c>
      <c r="F20">
        <v>7</v>
      </c>
      <c r="G20">
        <v>3.5</v>
      </c>
      <c r="H20">
        <v>6.17</v>
      </c>
      <c r="I20">
        <v>4.84</v>
      </c>
      <c r="J20">
        <v>1.49</v>
      </c>
      <c r="K20">
        <v>3.61</v>
      </c>
      <c r="L20">
        <v>2.1</v>
      </c>
      <c r="M20">
        <v>14.45</v>
      </c>
      <c r="N20">
        <v>5.8</v>
      </c>
      <c r="O20">
        <v>23.1</v>
      </c>
      <c r="P20">
        <v>4</v>
      </c>
      <c r="Q20">
        <v>2.77</v>
      </c>
      <c r="R20">
        <v>1.53</v>
      </c>
      <c r="S20">
        <v>1.93</v>
      </c>
      <c r="T20">
        <v>0.97</v>
      </c>
    </row>
    <row r="21" spans="1:20" x14ac:dyDescent="0.25">
      <c r="A21" t="s">
        <v>235</v>
      </c>
      <c r="C21" t="s">
        <v>234</v>
      </c>
      <c r="D21">
        <v>57.2</v>
      </c>
      <c r="E21">
        <v>6.4</v>
      </c>
      <c r="F21">
        <v>8</v>
      </c>
      <c r="G21">
        <v>4</v>
      </c>
      <c r="H21">
        <v>6.96</v>
      </c>
      <c r="I21">
        <v>5.46</v>
      </c>
      <c r="J21">
        <v>1.63</v>
      </c>
      <c r="K21">
        <v>4.03</v>
      </c>
      <c r="L21">
        <v>2.2999999999999998</v>
      </c>
      <c r="M21">
        <v>20.49</v>
      </c>
      <c r="N21">
        <v>8.1</v>
      </c>
      <c r="O21">
        <v>32.869999999999997</v>
      </c>
      <c r="P21">
        <v>5.03</v>
      </c>
      <c r="Q21">
        <v>3.53</v>
      </c>
      <c r="R21">
        <v>1.72</v>
      </c>
      <c r="S21">
        <v>2.17</v>
      </c>
      <c r="T21">
        <v>1.08</v>
      </c>
    </row>
    <row r="22" spans="1:20" x14ac:dyDescent="0.25">
      <c r="A22" t="s">
        <v>236</v>
      </c>
      <c r="C22" t="s">
        <v>236</v>
      </c>
      <c r="D22">
        <v>63.5</v>
      </c>
      <c r="E22">
        <v>6.4</v>
      </c>
      <c r="F22">
        <v>9</v>
      </c>
      <c r="G22">
        <v>4.5</v>
      </c>
      <c r="H22">
        <v>7.87</v>
      </c>
      <c r="I22">
        <v>6.18</v>
      </c>
      <c r="J22">
        <v>1.8</v>
      </c>
      <c r="K22">
        <v>4.53</v>
      </c>
      <c r="L22">
        <v>2.5299999999999998</v>
      </c>
      <c r="M22">
        <v>29.43</v>
      </c>
      <c r="N22">
        <v>11.49</v>
      </c>
      <c r="O22">
        <v>47.37</v>
      </c>
      <c r="P22">
        <v>6.39</v>
      </c>
      <c r="Q22">
        <v>4.54</v>
      </c>
      <c r="R22">
        <v>1.93</v>
      </c>
      <c r="S22">
        <v>2.4500000000000002</v>
      </c>
      <c r="T22">
        <v>1.21</v>
      </c>
    </row>
    <row r="23" spans="1:20" x14ac:dyDescent="0.25">
      <c r="A23" t="s">
        <v>237</v>
      </c>
      <c r="C23" t="s">
        <v>237</v>
      </c>
      <c r="D23">
        <v>76.2</v>
      </c>
      <c r="E23">
        <v>6.4</v>
      </c>
      <c r="F23">
        <v>10</v>
      </c>
      <c r="G23">
        <v>5</v>
      </c>
      <c r="H23">
        <v>9.43</v>
      </c>
      <c r="I23">
        <v>7.4</v>
      </c>
      <c r="J23">
        <v>2.09</v>
      </c>
      <c r="K23">
        <v>5.37</v>
      </c>
      <c r="L23">
        <v>2.94</v>
      </c>
      <c r="M23">
        <v>50.39</v>
      </c>
      <c r="N23">
        <v>19.47</v>
      </c>
      <c r="O23">
        <v>81.3</v>
      </c>
      <c r="P23">
        <v>9.14</v>
      </c>
      <c r="Q23">
        <v>6.62</v>
      </c>
      <c r="R23">
        <v>2.31</v>
      </c>
      <c r="S23">
        <v>2.94</v>
      </c>
      <c r="T23">
        <v>1.44</v>
      </c>
    </row>
    <row r="24" spans="1:20" x14ac:dyDescent="0.25">
      <c r="A24" t="s">
        <v>238</v>
      </c>
      <c r="C24" t="s">
        <v>238</v>
      </c>
      <c r="D24">
        <v>76.2</v>
      </c>
      <c r="E24">
        <v>7.9</v>
      </c>
      <c r="F24">
        <v>10</v>
      </c>
      <c r="G24">
        <v>5</v>
      </c>
      <c r="H24">
        <v>11.49</v>
      </c>
      <c r="I24">
        <v>9.02</v>
      </c>
      <c r="J24">
        <v>2.15</v>
      </c>
      <c r="K24">
        <v>5.37</v>
      </c>
      <c r="L24">
        <v>3.03</v>
      </c>
      <c r="M24">
        <v>60.74</v>
      </c>
      <c r="N24">
        <v>23.89</v>
      </c>
      <c r="O24">
        <v>97.59</v>
      </c>
      <c r="P24">
        <v>11.15</v>
      </c>
      <c r="Q24">
        <v>7.88</v>
      </c>
      <c r="R24">
        <v>2.2999999999999998</v>
      </c>
      <c r="S24">
        <v>2.91</v>
      </c>
      <c r="T24">
        <v>1.44</v>
      </c>
    </row>
    <row r="25" spans="1:20" x14ac:dyDescent="0.25">
      <c r="A25" t="s">
        <v>239</v>
      </c>
      <c r="C25" t="s">
        <v>240</v>
      </c>
      <c r="D25">
        <v>88.9</v>
      </c>
      <c r="E25">
        <v>7.9</v>
      </c>
      <c r="F25">
        <v>11</v>
      </c>
      <c r="G25">
        <v>5.5</v>
      </c>
      <c r="H25">
        <v>13.57</v>
      </c>
      <c r="I25">
        <v>10.65</v>
      </c>
      <c r="J25">
        <v>2.4700000000000002</v>
      </c>
      <c r="K25">
        <v>6.29</v>
      </c>
      <c r="L25">
        <v>3.48</v>
      </c>
      <c r="M25">
        <v>99.66</v>
      </c>
      <c r="N25">
        <v>38.85</v>
      </c>
      <c r="O25">
        <v>160.47</v>
      </c>
      <c r="P25">
        <v>15.49</v>
      </c>
      <c r="Q25">
        <v>11.17</v>
      </c>
      <c r="R25">
        <v>2.71</v>
      </c>
      <c r="S25">
        <v>3.44</v>
      </c>
      <c r="T25">
        <v>1.69</v>
      </c>
    </row>
    <row r="26" spans="1:20" x14ac:dyDescent="0.25">
      <c r="A26" t="s">
        <v>240</v>
      </c>
      <c r="C26" t="s">
        <v>239</v>
      </c>
      <c r="D26">
        <v>76.2</v>
      </c>
      <c r="E26">
        <v>9.5</v>
      </c>
      <c r="F26">
        <v>10</v>
      </c>
      <c r="G26">
        <v>5</v>
      </c>
      <c r="H26">
        <v>13.64</v>
      </c>
      <c r="I26">
        <v>10.71</v>
      </c>
      <c r="J26">
        <v>2.2200000000000002</v>
      </c>
      <c r="K26">
        <v>5.37</v>
      </c>
      <c r="L26">
        <v>3.12</v>
      </c>
      <c r="M26">
        <v>71.150000000000006</v>
      </c>
      <c r="N26">
        <v>28.47</v>
      </c>
      <c r="O26">
        <v>113.82</v>
      </c>
      <c r="P26">
        <v>13.21</v>
      </c>
      <c r="Q26">
        <v>9.11</v>
      </c>
      <c r="R26">
        <v>2.2799999999999998</v>
      </c>
      <c r="S26">
        <v>2.89</v>
      </c>
      <c r="T26">
        <v>1.44</v>
      </c>
    </row>
    <row r="27" spans="1:20" x14ac:dyDescent="0.25">
      <c r="A27" t="s">
        <v>241</v>
      </c>
      <c r="C27" t="s">
        <v>242</v>
      </c>
      <c r="D27">
        <v>101.6</v>
      </c>
      <c r="E27">
        <v>7.9</v>
      </c>
      <c r="F27">
        <v>12</v>
      </c>
      <c r="G27">
        <v>6</v>
      </c>
      <c r="H27">
        <v>15.65</v>
      </c>
      <c r="I27">
        <v>12.28</v>
      </c>
      <c r="J27">
        <v>2.78</v>
      </c>
      <c r="K27">
        <v>7.21</v>
      </c>
      <c r="L27">
        <v>3.92</v>
      </c>
      <c r="M27">
        <v>152.41</v>
      </c>
      <c r="N27">
        <v>59</v>
      </c>
      <c r="O27">
        <v>245.82</v>
      </c>
      <c r="P27">
        <v>20.54</v>
      </c>
      <c r="Q27">
        <v>15.04</v>
      </c>
      <c r="R27">
        <v>3.12</v>
      </c>
      <c r="S27">
        <v>3.96</v>
      </c>
      <c r="T27">
        <v>1.94</v>
      </c>
    </row>
    <row r="28" spans="1:20" x14ac:dyDescent="0.25">
      <c r="A28" t="s">
        <v>242</v>
      </c>
      <c r="C28" t="s">
        <v>241</v>
      </c>
      <c r="D28">
        <v>88.9</v>
      </c>
      <c r="E28">
        <v>9.5</v>
      </c>
      <c r="F28">
        <v>11</v>
      </c>
      <c r="G28">
        <v>5.5</v>
      </c>
      <c r="H28">
        <v>16.14</v>
      </c>
      <c r="I28">
        <v>12.67</v>
      </c>
      <c r="J28">
        <v>2.5299999999999998</v>
      </c>
      <c r="K28">
        <v>6.29</v>
      </c>
      <c r="L28">
        <v>3.57</v>
      </c>
      <c r="M28">
        <v>117.2</v>
      </c>
      <c r="N28">
        <v>46.37</v>
      </c>
      <c r="O28">
        <v>188.04</v>
      </c>
      <c r="P28">
        <v>18.41</v>
      </c>
      <c r="Q28">
        <v>12.98</v>
      </c>
      <c r="R28">
        <v>2.69</v>
      </c>
      <c r="S28">
        <v>3.41</v>
      </c>
      <c r="T28">
        <v>1.7</v>
      </c>
    </row>
    <row r="29" spans="1:20" x14ac:dyDescent="0.25">
      <c r="A29" t="s">
        <v>243</v>
      </c>
      <c r="C29" t="s">
        <v>243</v>
      </c>
      <c r="D29">
        <v>101.6</v>
      </c>
      <c r="E29">
        <v>9.5</v>
      </c>
      <c r="F29">
        <v>12</v>
      </c>
      <c r="G29">
        <v>6</v>
      </c>
      <c r="H29">
        <v>18.63</v>
      </c>
      <c r="I29">
        <v>14.63</v>
      </c>
      <c r="J29">
        <v>2.85</v>
      </c>
      <c r="K29">
        <v>7.21</v>
      </c>
      <c r="L29">
        <v>4.0199999999999996</v>
      </c>
      <c r="M29">
        <v>179.81</v>
      </c>
      <c r="N29">
        <v>70.56</v>
      </c>
      <c r="O29">
        <v>289.07</v>
      </c>
      <c r="P29">
        <v>24.47</v>
      </c>
      <c r="Q29">
        <v>17.55</v>
      </c>
      <c r="R29">
        <v>3.11</v>
      </c>
      <c r="S29">
        <v>3.94</v>
      </c>
      <c r="T29">
        <v>1.95</v>
      </c>
    </row>
    <row r="30" spans="1:20" x14ac:dyDescent="0.25">
      <c r="A30" t="s">
        <v>244</v>
      </c>
      <c r="C30" t="s">
        <v>244</v>
      </c>
      <c r="D30">
        <v>101.6</v>
      </c>
      <c r="E30">
        <v>12.7</v>
      </c>
      <c r="F30">
        <v>12</v>
      </c>
      <c r="G30">
        <v>6</v>
      </c>
      <c r="H30">
        <v>24.45</v>
      </c>
      <c r="I30">
        <v>19.190000000000001</v>
      </c>
      <c r="J30">
        <v>2.98</v>
      </c>
      <c r="K30">
        <v>7.21</v>
      </c>
      <c r="L30">
        <v>4.2</v>
      </c>
      <c r="M30">
        <v>230.95</v>
      </c>
      <c r="N30">
        <v>92.84</v>
      </c>
      <c r="O30">
        <v>269.07</v>
      </c>
      <c r="P30">
        <v>31.99</v>
      </c>
      <c r="Q30">
        <v>22.09</v>
      </c>
      <c r="R30">
        <v>3.07</v>
      </c>
      <c r="S30">
        <v>3.89</v>
      </c>
      <c r="T30">
        <v>1.95</v>
      </c>
    </row>
    <row r="31" spans="1:20" x14ac:dyDescent="0.25">
      <c r="C31" t="s">
        <v>209</v>
      </c>
      <c r="D31" t="s">
        <v>210</v>
      </c>
      <c r="E31" t="s">
        <v>210</v>
      </c>
      <c r="F31" t="s">
        <v>210</v>
      </c>
      <c r="H31" t="s">
        <v>211</v>
      </c>
      <c r="I31" t="s">
        <v>212</v>
      </c>
      <c r="J31" t="s">
        <v>213</v>
      </c>
      <c r="M31" t="s">
        <v>214</v>
      </c>
      <c r="P31" t="s">
        <v>215</v>
      </c>
      <c r="R31" t="s">
        <v>213</v>
      </c>
    </row>
    <row r="32" spans="1:20" x14ac:dyDescent="0.25">
      <c r="D32" t="s">
        <v>70</v>
      </c>
      <c r="E32" t="s">
        <v>195</v>
      </c>
      <c r="F32" t="s">
        <v>175</v>
      </c>
      <c r="G32" t="s">
        <v>196</v>
      </c>
      <c r="H32" t="s">
        <v>46</v>
      </c>
      <c r="I32" t="s">
        <v>197</v>
      </c>
      <c r="J32" t="s">
        <v>198</v>
      </c>
      <c r="K32" t="s">
        <v>199</v>
      </c>
      <c r="L32" t="s">
        <v>200</v>
      </c>
      <c r="M32" t="s">
        <v>201</v>
      </c>
      <c r="N32" t="s">
        <v>202</v>
      </c>
      <c r="O32" t="s">
        <v>203</v>
      </c>
      <c r="P32" t="s">
        <v>204</v>
      </c>
      <c r="Q32" t="s">
        <v>205</v>
      </c>
      <c r="R32" t="s">
        <v>206</v>
      </c>
      <c r="S32" t="s">
        <v>207</v>
      </c>
      <c r="T32" t="s">
        <v>208</v>
      </c>
    </row>
    <row r="34" spans="3:20" x14ac:dyDescent="0.25"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AB9AF-2D8E-4306-8FCC-DEFB54830306}">
  <sheetPr codeName="Hoja4"/>
  <dimension ref="A1:O41"/>
  <sheetViews>
    <sheetView workbookViewId="0">
      <selection activeCell="G2" sqref="G2:G3"/>
    </sheetView>
  </sheetViews>
  <sheetFormatPr baseColWidth="10" defaultRowHeight="15" x14ac:dyDescent="0.25"/>
  <cols>
    <col min="1" max="1" width="17.28515625" customWidth="1"/>
    <col min="2" max="2" width="12.85546875" bestFit="1" customWidth="1"/>
    <col min="3" max="3" width="11.28515625" bestFit="1" customWidth="1"/>
    <col min="4" max="4" width="15.7109375" bestFit="1" customWidth="1"/>
  </cols>
  <sheetData>
    <row r="1" spans="1:15" ht="18" x14ac:dyDescent="0.25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  <c r="K1" s="3">
        <v>11</v>
      </c>
      <c r="L1" s="3">
        <v>12</v>
      </c>
      <c r="M1" s="3">
        <v>13</v>
      </c>
      <c r="N1" s="3">
        <v>14</v>
      </c>
      <c r="O1" s="3">
        <v>15</v>
      </c>
    </row>
    <row r="2" spans="1:15" x14ac:dyDescent="0.25">
      <c r="A2" s="143" t="s">
        <v>106</v>
      </c>
      <c r="B2" s="143" t="s">
        <v>163</v>
      </c>
      <c r="C2" s="145" t="s">
        <v>164</v>
      </c>
      <c r="D2" s="145" t="s">
        <v>165</v>
      </c>
      <c r="E2" s="143" t="s">
        <v>107</v>
      </c>
      <c r="F2" s="143" t="s">
        <v>108</v>
      </c>
      <c r="G2" s="143" t="s">
        <v>109</v>
      </c>
      <c r="H2" s="143" t="s">
        <v>110</v>
      </c>
      <c r="I2" s="144" t="s">
        <v>111</v>
      </c>
      <c r="J2" s="144"/>
      <c r="K2" s="144"/>
      <c r="L2" s="144"/>
      <c r="M2" s="144"/>
      <c r="N2" s="144"/>
      <c r="O2" s="144"/>
    </row>
    <row r="3" spans="1:15" x14ac:dyDescent="0.25">
      <c r="A3" s="143"/>
      <c r="B3" s="143"/>
      <c r="C3" s="146"/>
      <c r="D3" s="146"/>
      <c r="E3" s="143"/>
      <c r="F3" s="143"/>
      <c r="G3" s="143"/>
      <c r="H3" s="143"/>
      <c r="I3" s="83" t="s">
        <v>112</v>
      </c>
      <c r="J3" s="83" t="s">
        <v>113</v>
      </c>
      <c r="K3" s="83" t="s">
        <v>10</v>
      </c>
      <c r="L3" s="83" t="s">
        <v>114</v>
      </c>
      <c r="M3" s="83" t="s">
        <v>115</v>
      </c>
      <c r="N3" s="83" t="s">
        <v>116</v>
      </c>
      <c r="O3" s="83" t="s">
        <v>11</v>
      </c>
    </row>
    <row r="4" spans="1:15" x14ac:dyDescent="0.25">
      <c r="A4" s="83" t="s">
        <v>117</v>
      </c>
      <c r="B4" s="83" t="s">
        <v>117</v>
      </c>
      <c r="C4" s="83" t="s">
        <v>117</v>
      </c>
      <c r="D4" s="83" t="s">
        <v>117</v>
      </c>
      <c r="E4" s="83" t="s">
        <v>117</v>
      </c>
      <c r="F4" s="83" t="s">
        <v>118</v>
      </c>
      <c r="G4" s="83" t="s">
        <v>118</v>
      </c>
      <c r="H4" s="84" t="s">
        <v>119</v>
      </c>
      <c r="I4" s="84" t="s">
        <v>120</v>
      </c>
      <c r="J4" s="84" t="s">
        <v>121</v>
      </c>
      <c r="K4" s="83" t="s">
        <v>122</v>
      </c>
      <c r="L4" s="83" t="s">
        <v>122</v>
      </c>
      <c r="M4" s="84" t="s">
        <v>120</v>
      </c>
      <c r="N4" s="84" t="s">
        <v>121</v>
      </c>
      <c r="O4" s="83" t="s">
        <v>122</v>
      </c>
    </row>
    <row r="5" spans="1:15" x14ac:dyDescent="0.25">
      <c r="A5" s="79" t="s">
        <v>133</v>
      </c>
      <c r="B5" s="80">
        <v>80</v>
      </c>
      <c r="C5" s="80">
        <v>40</v>
      </c>
      <c r="D5" s="80">
        <v>15</v>
      </c>
      <c r="E5" s="81">
        <v>1.6</v>
      </c>
      <c r="F5" s="81">
        <v>2.2200000000000002</v>
      </c>
      <c r="G5" s="81">
        <v>2.2599999999999998</v>
      </c>
      <c r="H5" s="81">
        <v>2.83</v>
      </c>
      <c r="I5" s="81">
        <v>7.52</v>
      </c>
      <c r="J5" s="81">
        <v>30.08</v>
      </c>
      <c r="K5" s="81">
        <v>3.26</v>
      </c>
      <c r="L5" s="81">
        <v>1.48</v>
      </c>
      <c r="M5" s="81">
        <v>2.78</v>
      </c>
      <c r="N5" s="81">
        <v>7.02</v>
      </c>
      <c r="O5" s="81">
        <v>1.57</v>
      </c>
    </row>
    <row r="6" spans="1:15" x14ac:dyDescent="0.25">
      <c r="A6" s="79" t="s">
        <v>126</v>
      </c>
      <c r="B6" s="80">
        <v>80</v>
      </c>
      <c r="C6" s="80">
        <v>40</v>
      </c>
      <c r="D6" s="80">
        <v>15</v>
      </c>
      <c r="E6" s="81">
        <v>2</v>
      </c>
      <c r="F6" s="81">
        <v>2.76</v>
      </c>
      <c r="G6" s="81">
        <v>2.8</v>
      </c>
      <c r="H6" s="81">
        <v>3.52</v>
      </c>
      <c r="I6" s="81">
        <v>9.2200000000000006</v>
      </c>
      <c r="J6" s="81">
        <v>36.89</v>
      </c>
      <c r="K6" s="81">
        <v>3.26</v>
      </c>
      <c r="L6" s="81">
        <v>1.48</v>
      </c>
      <c r="M6" s="81">
        <v>3.38</v>
      </c>
      <c r="N6" s="81">
        <v>8.51</v>
      </c>
      <c r="O6" s="81">
        <v>1.56</v>
      </c>
    </row>
    <row r="7" spans="1:15" x14ac:dyDescent="0.25">
      <c r="A7" s="79" t="s">
        <v>127</v>
      </c>
      <c r="B7" s="80">
        <v>80</v>
      </c>
      <c r="C7" s="80">
        <v>40</v>
      </c>
      <c r="D7" s="80">
        <v>15</v>
      </c>
      <c r="E7" s="81">
        <v>2.5</v>
      </c>
      <c r="F7" s="81">
        <v>3.38</v>
      </c>
      <c r="G7" s="81">
        <v>3.41</v>
      </c>
      <c r="H7" s="81">
        <v>4.3</v>
      </c>
      <c r="I7" s="81">
        <v>11.25</v>
      </c>
      <c r="J7" s="81">
        <v>45.02</v>
      </c>
      <c r="K7" s="81">
        <v>3.25</v>
      </c>
      <c r="L7" s="81">
        <v>1.48</v>
      </c>
      <c r="M7" s="81">
        <v>4.07</v>
      </c>
      <c r="N7" s="81">
        <v>10.25</v>
      </c>
      <c r="O7" s="81">
        <v>1.55</v>
      </c>
    </row>
    <row r="8" spans="1:15" x14ac:dyDescent="0.25">
      <c r="A8" s="79" t="s">
        <v>131</v>
      </c>
      <c r="B8" s="80">
        <v>80</v>
      </c>
      <c r="C8" s="80">
        <v>40</v>
      </c>
      <c r="D8" s="80">
        <v>15</v>
      </c>
      <c r="E8" s="81">
        <v>3.2</v>
      </c>
      <c r="F8" s="81">
        <v>4.12</v>
      </c>
      <c r="G8" s="80" t="s">
        <v>123</v>
      </c>
      <c r="H8" s="81">
        <v>5.25</v>
      </c>
      <c r="I8" s="81">
        <v>13.93</v>
      </c>
      <c r="J8" s="81">
        <v>55.7</v>
      </c>
      <c r="K8" s="81">
        <v>3.25</v>
      </c>
      <c r="L8" s="81">
        <v>1.48</v>
      </c>
      <c r="M8" s="81">
        <v>4.9400000000000004</v>
      </c>
      <c r="N8" s="81">
        <v>12.44</v>
      </c>
      <c r="O8" s="81">
        <v>1.54</v>
      </c>
    </row>
    <row r="9" spans="1:15" x14ac:dyDescent="0.25">
      <c r="A9" s="79" t="s">
        <v>132</v>
      </c>
      <c r="B9" s="80">
        <v>80</v>
      </c>
      <c r="C9" s="80">
        <v>50</v>
      </c>
      <c r="D9" s="80">
        <v>15</v>
      </c>
      <c r="E9" s="81">
        <v>1.6</v>
      </c>
      <c r="F9" s="81">
        <v>2.4700000000000002</v>
      </c>
      <c r="G9" s="81">
        <v>2.5099999999999998</v>
      </c>
      <c r="H9" s="81">
        <v>3.15</v>
      </c>
      <c r="I9" s="81">
        <v>8.75</v>
      </c>
      <c r="J9" s="81">
        <v>35</v>
      </c>
      <c r="K9" s="81">
        <v>3.33</v>
      </c>
      <c r="L9" s="81">
        <v>1.91</v>
      </c>
      <c r="M9" s="81">
        <v>3.84</v>
      </c>
      <c r="N9" s="81">
        <v>11.89</v>
      </c>
      <c r="O9" s="81">
        <v>1.94</v>
      </c>
    </row>
    <row r="10" spans="1:15" x14ac:dyDescent="0.25">
      <c r="A10" s="79" t="s">
        <v>128</v>
      </c>
      <c r="B10" s="80">
        <v>80</v>
      </c>
      <c r="C10" s="80">
        <v>50</v>
      </c>
      <c r="D10" s="80">
        <v>15</v>
      </c>
      <c r="E10" s="81">
        <v>2</v>
      </c>
      <c r="F10" s="81">
        <v>3.08</v>
      </c>
      <c r="G10" s="81">
        <v>3.12</v>
      </c>
      <c r="H10" s="81">
        <v>3.92</v>
      </c>
      <c r="I10" s="81">
        <v>10.74</v>
      </c>
      <c r="J10" s="81">
        <v>42.98</v>
      </c>
      <c r="K10" s="81">
        <v>3.33</v>
      </c>
      <c r="L10" s="81">
        <v>1.91</v>
      </c>
      <c r="M10" s="81">
        <v>4.6900000000000004</v>
      </c>
      <c r="N10" s="81">
        <v>14.5</v>
      </c>
      <c r="O10" s="81">
        <v>1.93</v>
      </c>
    </row>
    <row r="11" spans="1:15" x14ac:dyDescent="0.25">
      <c r="A11" s="79" t="s">
        <v>129</v>
      </c>
      <c r="B11" s="80">
        <v>80</v>
      </c>
      <c r="C11" s="80">
        <v>50</v>
      </c>
      <c r="D11" s="80">
        <v>15</v>
      </c>
      <c r="E11" s="81">
        <v>2.5</v>
      </c>
      <c r="F11" s="81">
        <v>3.77</v>
      </c>
      <c r="G11" s="81">
        <v>3.81</v>
      </c>
      <c r="H11" s="81">
        <v>4.8</v>
      </c>
      <c r="I11" s="81">
        <v>13.13</v>
      </c>
      <c r="J11" s="81">
        <v>52.53</v>
      </c>
      <c r="K11" s="81">
        <v>3.33</v>
      </c>
      <c r="L11" s="81">
        <v>1.91</v>
      </c>
      <c r="M11" s="81">
        <v>5.68</v>
      </c>
      <c r="N11" s="81">
        <v>17.559999999999999</v>
      </c>
      <c r="O11" s="81">
        <v>1.92</v>
      </c>
    </row>
    <row r="12" spans="1:15" x14ac:dyDescent="0.25">
      <c r="A12" s="79" t="s">
        <v>130</v>
      </c>
      <c r="B12" s="80">
        <v>80</v>
      </c>
      <c r="C12" s="80">
        <v>50</v>
      </c>
      <c r="D12" s="80">
        <v>15</v>
      </c>
      <c r="E12" s="81">
        <v>3.2</v>
      </c>
      <c r="F12" s="81">
        <v>4.62</v>
      </c>
      <c r="G12" s="82"/>
      <c r="H12" s="81">
        <v>5.89</v>
      </c>
      <c r="I12" s="81">
        <v>16.29</v>
      </c>
      <c r="J12" s="81">
        <v>65.14</v>
      </c>
      <c r="K12" s="81">
        <v>3.32</v>
      </c>
      <c r="L12" s="81">
        <v>1.91</v>
      </c>
      <c r="M12" s="81">
        <v>6.95</v>
      </c>
      <c r="N12" s="81">
        <v>21.5</v>
      </c>
      <c r="O12" s="81">
        <v>1.91</v>
      </c>
    </row>
    <row r="13" spans="1:15" x14ac:dyDescent="0.25">
      <c r="A13" s="79" t="s">
        <v>134</v>
      </c>
      <c r="B13" s="80">
        <v>100</v>
      </c>
      <c r="C13" s="80">
        <v>45</v>
      </c>
      <c r="D13" s="80">
        <v>10</v>
      </c>
      <c r="E13" s="81">
        <v>1.6</v>
      </c>
      <c r="F13" s="81">
        <v>2.5</v>
      </c>
      <c r="G13" s="81">
        <v>2.54</v>
      </c>
      <c r="H13" s="81">
        <v>3.18</v>
      </c>
      <c r="I13" s="81">
        <v>10.46</v>
      </c>
      <c r="J13" s="81">
        <v>52.29</v>
      </c>
      <c r="K13" s="81">
        <v>3.97</v>
      </c>
      <c r="L13" s="81">
        <v>1.46</v>
      </c>
      <c r="M13" s="81">
        <v>3.39</v>
      </c>
      <c r="N13" s="81">
        <v>8.6</v>
      </c>
      <c r="O13" s="81">
        <v>1.61</v>
      </c>
    </row>
    <row r="14" spans="1:15" x14ac:dyDescent="0.25">
      <c r="A14" s="79" t="s">
        <v>135</v>
      </c>
      <c r="B14" s="80">
        <v>100</v>
      </c>
      <c r="C14" s="80">
        <v>45</v>
      </c>
      <c r="D14" s="80">
        <v>10</v>
      </c>
      <c r="E14" s="81">
        <v>2</v>
      </c>
      <c r="F14" s="81">
        <v>3.11</v>
      </c>
      <c r="G14" s="81">
        <v>3.15</v>
      </c>
      <c r="H14" s="81">
        <v>3.96</v>
      </c>
      <c r="I14" s="81">
        <v>12.86</v>
      </c>
      <c r="J14" s="81">
        <v>64.31</v>
      </c>
      <c r="K14" s="81">
        <v>3.97</v>
      </c>
      <c r="L14" s="81">
        <v>1.46</v>
      </c>
      <c r="M14" s="81">
        <v>4.12</v>
      </c>
      <c r="N14" s="81">
        <v>10.45</v>
      </c>
      <c r="O14" s="81">
        <v>1.6</v>
      </c>
    </row>
    <row r="15" spans="1:15" x14ac:dyDescent="0.25">
      <c r="A15" s="79" t="s">
        <v>136</v>
      </c>
      <c r="B15" s="80">
        <v>100</v>
      </c>
      <c r="C15" s="80">
        <v>45</v>
      </c>
      <c r="D15" s="80">
        <v>10</v>
      </c>
      <c r="E15" s="81">
        <v>2.5</v>
      </c>
      <c r="F15" s="81">
        <v>3.81</v>
      </c>
      <c r="G15" s="81">
        <v>3.85</v>
      </c>
      <c r="H15" s="81">
        <v>4.8499999999999996</v>
      </c>
      <c r="I15" s="81">
        <v>15.75</v>
      </c>
      <c r="J15" s="81">
        <v>78.77</v>
      </c>
      <c r="K15" s="81">
        <v>3.97</v>
      </c>
      <c r="L15" s="81">
        <v>1.46</v>
      </c>
      <c r="M15" s="81">
        <v>4.97</v>
      </c>
      <c r="N15" s="81">
        <v>12.6</v>
      </c>
      <c r="O15" s="81">
        <v>1.59</v>
      </c>
    </row>
    <row r="16" spans="1:15" x14ac:dyDescent="0.25">
      <c r="A16" s="79" t="s">
        <v>137</v>
      </c>
      <c r="B16" s="80">
        <v>100</v>
      </c>
      <c r="C16" s="80">
        <v>45</v>
      </c>
      <c r="D16" s="80">
        <v>10</v>
      </c>
      <c r="E16" s="81">
        <v>3.2</v>
      </c>
      <c r="F16" s="81">
        <v>4.7</v>
      </c>
      <c r="G16" s="82"/>
      <c r="H16" s="81">
        <v>5.98</v>
      </c>
      <c r="I16" s="81">
        <v>19.59</v>
      </c>
      <c r="J16" s="81">
        <v>97.97</v>
      </c>
      <c r="K16" s="81">
        <v>3.97</v>
      </c>
      <c r="L16" s="81">
        <v>1.47</v>
      </c>
      <c r="M16" s="81">
        <v>6.06</v>
      </c>
      <c r="N16" s="81">
        <v>15.35</v>
      </c>
      <c r="O16" s="81">
        <v>1.57</v>
      </c>
    </row>
    <row r="17" spans="1:15" x14ac:dyDescent="0.25">
      <c r="A17" s="79" t="s">
        <v>138</v>
      </c>
      <c r="B17" s="80">
        <v>100</v>
      </c>
      <c r="C17" s="80">
        <v>50</v>
      </c>
      <c r="D17" s="80">
        <v>15</v>
      </c>
      <c r="E17" s="81">
        <v>1.6</v>
      </c>
      <c r="F17" s="81">
        <v>2.73</v>
      </c>
      <c r="G17" s="81">
        <v>2.77</v>
      </c>
      <c r="H17" s="81">
        <v>3.47</v>
      </c>
      <c r="I17" s="81">
        <v>11.67</v>
      </c>
      <c r="J17" s="81">
        <v>58.35</v>
      </c>
      <c r="K17" s="81">
        <v>4.0999999999999996</v>
      </c>
      <c r="L17" s="81">
        <v>1.74</v>
      </c>
      <c r="M17" s="81">
        <v>3.95</v>
      </c>
      <c r="N17" s="81">
        <v>12.87</v>
      </c>
      <c r="O17" s="81">
        <v>1.92</v>
      </c>
    </row>
    <row r="18" spans="1:15" x14ac:dyDescent="0.25">
      <c r="A18" s="79" t="s">
        <v>139</v>
      </c>
      <c r="B18" s="80">
        <v>100</v>
      </c>
      <c r="C18" s="80">
        <v>50</v>
      </c>
      <c r="D18" s="80">
        <v>15</v>
      </c>
      <c r="E18" s="81">
        <v>2</v>
      </c>
      <c r="F18" s="81">
        <v>3.39</v>
      </c>
      <c r="G18" s="81">
        <v>3.43</v>
      </c>
      <c r="H18" s="81">
        <v>4.32</v>
      </c>
      <c r="I18" s="81">
        <v>14.36</v>
      </c>
      <c r="J18" s="81">
        <v>71.8</v>
      </c>
      <c r="K18" s="81">
        <v>4.0999999999999996</v>
      </c>
      <c r="L18" s="81">
        <v>1.74</v>
      </c>
      <c r="M18" s="81">
        <v>4.82</v>
      </c>
      <c r="N18" s="81">
        <v>15.69</v>
      </c>
      <c r="O18" s="81">
        <v>1.91</v>
      </c>
    </row>
    <row r="19" spans="1:15" x14ac:dyDescent="0.25">
      <c r="A19" s="79" t="s">
        <v>140</v>
      </c>
      <c r="B19" s="80">
        <v>100</v>
      </c>
      <c r="C19" s="80">
        <v>50</v>
      </c>
      <c r="D19" s="80">
        <v>15</v>
      </c>
      <c r="E19" s="81">
        <v>2.5</v>
      </c>
      <c r="F19" s="81">
        <v>4.16</v>
      </c>
      <c r="G19" s="81">
        <v>4.2</v>
      </c>
      <c r="H19" s="81">
        <v>5.3</v>
      </c>
      <c r="I19" s="81">
        <v>17.600000000000001</v>
      </c>
      <c r="J19" s="81">
        <v>88.01</v>
      </c>
      <c r="K19" s="81">
        <v>4.09</v>
      </c>
      <c r="L19" s="81">
        <v>1.74</v>
      </c>
      <c r="M19" s="81">
        <v>5.84</v>
      </c>
      <c r="N19" s="81">
        <v>19.010000000000002</v>
      </c>
      <c r="O19" s="81">
        <v>1.9</v>
      </c>
    </row>
    <row r="20" spans="1:15" x14ac:dyDescent="0.25">
      <c r="A20" s="79" t="s">
        <v>141</v>
      </c>
      <c r="B20" s="80">
        <v>100</v>
      </c>
      <c r="C20" s="80">
        <v>50</v>
      </c>
      <c r="D20" s="80">
        <v>15</v>
      </c>
      <c r="E20" s="81">
        <v>3.2</v>
      </c>
      <c r="F20" s="81">
        <v>5.17</v>
      </c>
      <c r="G20" s="82"/>
      <c r="H20" s="81">
        <v>6.59</v>
      </c>
      <c r="I20" s="81">
        <v>21.92</v>
      </c>
      <c r="J20" s="81">
        <v>109.58</v>
      </c>
      <c r="K20" s="81">
        <v>4.09</v>
      </c>
      <c r="L20" s="81">
        <v>1.75</v>
      </c>
      <c r="M20" s="81">
        <v>7.15</v>
      </c>
      <c r="N20" s="81">
        <v>23.28</v>
      </c>
      <c r="O20" s="81">
        <v>1.89</v>
      </c>
    </row>
    <row r="21" spans="1:15" x14ac:dyDescent="0.25">
      <c r="A21" s="79" t="s">
        <v>142</v>
      </c>
      <c r="B21" s="80">
        <v>120</v>
      </c>
      <c r="C21" s="80">
        <v>50</v>
      </c>
      <c r="D21" s="80">
        <v>15</v>
      </c>
      <c r="E21" s="81">
        <v>1.6</v>
      </c>
      <c r="F21" s="81">
        <v>2.98</v>
      </c>
      <c r="G21" s="81">
        <v>3.02</v>
      </c>
      <c r="H21" s="81">
        <v>3.79</v>
      </c>
      <c r="I21" s="81">
        <v>14.81</v>
      </c>
      <c r="J21" s="81">
        <v>88.85</v>
      </c>
      <c r="K21" s="81">
        <v>4.84</v>
      </c>
      <c r="L21" s="81">
        <v>1.61</v>
      </c>
      <c r="M21" s="81">
        <v>4.03</v>
      </c>
      <c r="N21" s="81">
        <v>13.68</v>
      </c>
      <c r="O21" s="81">
        <v>1.9</v>
      </c>
    </row>
    <row r="22" spans="1:15" x14ac:dyDescent="0.25">
      <c r="A22" s="79" t="s">
        <v>145</v>
      </c>
      <c r="B22" s="80">
        <v>120</v>
      </c>
      <c r="C22" s="80">
        <v>50</v>
      </c>
      <c r="D22" s="80">
        <v>15</v>
      </c>
      <c r="E22" s="81">
        <v>2</v>
      </c>
      <c r="F22" s="81">
        <v>3.71</v>
      </c>
      <c r="G22" s="81">
        <v>3.75</v>
      </c>
      <c r="H22" s="81">
        <v>4.72</v>
      </c>
      <c r="I22" s="81">
        <v>18.25</v>
      </c>
      <c r="J22" s="81">
        <v>109.51</v>
      </c>
      <c r="K22" s="81">
        <v>4.84</v>
      </c>
      <c r="L22" s="81">
        <v>1.61</v>
      </c>
      <c r="M22" s="81">
        <v>4.92</v>
      </c>
      <c r="N22" s="81">
        <v>16.68</v>
      </c>
      <c r="O22" s="81">
        <v>1.89</v>
      </c>
    </row>
    <row r="23" spans="1:15" x14ac:dyDescent="0.25">
      <c r="A23" s="79" t="s">
        <v>143</v>
      </c>
      <c r="B23" s="80">
        <v>120</v>
      </c>
      <c r="C23" s="80">
        <v>50</v>
      </c>
      <c r="D23" s="80">
        <v>15</v>
      </c>
      <c r="E23" s="81">
        <v>2.5</v>
      </c>
      <c r="F23" s="81">
        <v>4.55</v>
      </c>
      <c r="G23" s="81">
        <v>4.5999999999999996</v>
      </c>
      <c r="H23" s="81">
        <v>5.8</v>
      </c>
      <c r="I23" s="81">
        <v>22.41</v>
      </c>
      <c r="J23" s="81">
        <v>134.47999999999999</v>
      </c>
      <c r="K23" s="81">
        <v>4.84</v>
      </c>
      <c r="L23" s="81">
        <v>1.61</v>
      </c>
      <c r="M23" s="81">
        <v>5.96</v>
      </c>
      <c r="N23" s="81">
        <v>20.21</v>
      </c>
      <c r="O23" s="81">
        <v>1.87</v>
      </c>
    </row>
    <row r="24" spans="1:15" x14ac:dyDescent="0.25">
      <c r="A24" s="79" t="s">
        <v>144</v>
      </c>
      <c r="B24" s="80">
        <v>120</v>
      </c>
      <c r="C24" s="80">
        <v>50</v>
      </c>
      <c r="D24" s="80">
        <v>15</v>
      </c>
      <c r="E24" s="81">
        <v>3.2</v>
      </c>
      <c r="F24" s="81">
        <v>5.68</v>
      </c>
      <c r="G24" s="81">
        <v>5.72</v>
      </c>
      <c r="H24" s="81">
        <v>7.23</v>
      </c>
      <c r="I24" s="81">
        <v>27.99</v>
      </c>
      <c r="J24" s="81">
        <v>167.91</v>
      </c>
      <c r="K24" s="81">
        <v>4.84</v>
      </c>
      <c r="L24" s="81">
        <v>1.61</v>
      </c>
      <c r="M24" s="81">
        <v>7.31</v>
      </c>
      <c r="N24" s="81">
        <v>24.76</v>
      </c>
      <c r="O24" s="81">
        <v>1.86</v>
      </c>
    </row>
    <row r="25" spans="1:15" x14ac:dyDescent="0.25">
      <c r="A25" s="79" t="s">
        <v>146</v>
      </c>
      <c r="B25" s="80">
        <v>140</v>
      </c>
      <c r="C25" s="80">
        <v>60</v>
      </c>
      <c r="D25" s="80">
        <v>20</v>
      </c>
      <c r="E25" s="81">
        <v>2</v>
      </c>
      <c r="F25" s="81">
        <v>4.49</v>
      </c>
      <c r="G25" s="81">
        <v>4.55</v>
      </c>
      <c r="H25" s="81">
        <v>5.72</v>
      </c>
      <c r="I25" s="81">
        <v>25.92</v>
      </c>
      <c r="J25" s="81">
        <v>181.45</v>
      </c>
      <c r="K25" s="81">
        <v>5.65</v>
      </c>
      <c r="L25" s="81">
        <v>2.0099999999999998</v>
      </c>
      <c r="M25" s="81">
        <v>7.61</v>
      </c>
      <c r="N25" s="81">
        <v>30.38</v>
      </c>
      <c r="O25" s="81">
        <v>2.31</v>
      </c>
    </row>
    <row r="26" spans="1:15" x14ac:dyDescent="0.25">
      <c r="A26" s="79" t="s">
        <v>147</v>
      </c>
      <c r="B26" s="80">
        <v>140</v>
      </c>
      <c r="C26" s="80">
        <v>60</v>
      </c>
      <c r="D26" s="80">
        <v>20</v>
      </c>
      <c r="E26" s="81">
        <v>2.5</v>
      </c>
      <c r="F26" s="81">
        <v>5.53</v>
      </c>
      <c r="G26" s="81">
        <v>5.59</v>
      </c>
      <c r="H26" s="81">
        <v>7.05</v>
      </c>
      <c r="I26" s="81">
        <v>31.93</v>
      </c>
      <c r="J26" s="81">
        <v>223.49</v>
      </c>
      <c r="K26" s="81">
        <v>5.65</v>
      </c>
      <c r="L26" s="81">
        <v>2.0099999999999998</v>
      </c>
      <c r="M26" s="81">
        <v>9.2799999999999994</v>
      </c>
      <c r="N26" s="81">
        <v>37.03</v>
      </c>
      <c r="O26" s="81">
        <v>2.2999999999999998</v>
      </c>
    </row>
    <row r="27" spans="1:15" x14ac:dyDescent="0.25">
      <c r="A27" s="79" t="s">
        <v>148</v>
      </c>
      <c r="B27" s="80">
        <v>140</v>
      </c>
      <c r="C27" s="80">
        <v>60</v>
      </c>
      <c r="D27" s="80">
        <v>20</v>
      </c>
      <c r="E27" s="81">
        <v>3.2</v>
      </c>
      <c r="F27" s="81">
        <v>6.88</v>
      </c>
      <c r="G27" s="81">
        <v>6.94</v>
      </c>
      <c r="H27" s="81">
        <v>8.77</v>
      </c>
      <c r="I27" s="81">
        <v>40.03</v>
      </c>
      <c r="J27" s="81">
        <v>280.2</v>
      </c>
      <c r="K27" s="81">
        <v>5.65</v>
      </c>
      <c r="L27" s="81">
        <v>2.0099999999999998</v>
      </c>
      <c r="M27" s="81">
        <v>11.47</v>
      </c>
      <c r="N27" s="81">
        <v>45.73</v>
      </c>
      <c r="O27" s="81">
        <v>2.2799999999999998</v>
      </c>
    </row>
    <row r="28" spans="1:15" x14ac:dyDescent="0.25">
      <c r="A28" s="79" t="s">
        <v>149</v>
      </c>
      <c r="B28" s="80">
        <v>160</v>
      </c>
      <c r="C28" s="80">
        <v>60</v>
      </c>
      <c r="D28" s="80">
        <v>20</v>
      </c>
      <c r="E28" s="81">
        <v>2</v>
      </c>
      <c r="F28" s="81">
        <v>4.8</v>
      </c>
      <c r="G28" s="81">
        <v>4.87</v>
      </c>
      <c r="H28" s="81">
        <v>6.12</v>
      </c>
      <c r="I28" s="81">
        <v>30.94</v>
      </c>
      <c r="J28" s="81">
        <v>247.54</v>
      </c>
      <c r="K28" s="81">
        <v>6.38</v>
      </c>
      <c r="L28" s="81">
        <v>1.88</v>
      </c>
      <c r="M28" s="81">
        <v>7.71</v>
      </c>
      <c r="N28" s="81">
        <v>31.74</v>
      </c>
      <c r="O28" s="81">
        <v>2.2799999999999998</v>
      </c>
    </row>
    <row r="29" spans="1:15" x14ac:dyDescent="0.25">
      <c r="A29" s="79" t="s">
        <v>150</v>
      </c>
      <c r="B29" s="80">
        <v>160</v>
      </c>
      <c r="C29" s="80">
        <v>60</v>
      </c>
      <c r="D29" s="80">
        <v>20</v>
      </c>
      <c r="E29" s="81">
        <v>2.5</v>
      </c>
      <c r="F29" s="81">
        <v>5.93</v>
      </c>
      <c r="G29" s="81">
        <v>5.99</v>
      </c>
      <c r="H29" s="81">
        <v>7.55</v>
      </c>
      <c r="I29" s="81">
        <v>38.15</v>
      </c>
      <c r="J29" s="81">
        <v>305.22000000000003</v>
      </c>
      <c r="K29" s="81">
        <v>6.38</v>
      </c>
      <c r="L29" s="81">
        <v>1.89</v>
      </c>
      <c r="M29" s="81">
        <v>9.41</v>
      </c>
      <c r="N29" s="81">
        <v>38.69</v>
      </c>
      <c r="O29" s="81">
        <v>2.27</v>
      </c>
    </row>
    <row r="30" spans="1:15" s="86" customFormat="1" x14ac:dyDescent="0.25">
      <c r="A30" s="83" t="s">
        <v>151</v>
      </c>
      <c r="B30" s="84">
        <v>160</v>
      </c>
      <c r="C30" s="84">
        <v>60</v>
      </c>
      <c r="D30" s="84">
        <v>20</v>
      </c>
      <c r="E30" s="85">
        <v>3.2</v>
      </c>
      <c r="F30" s="85">
        <v>7.44</v>
      </c>
      <c r="G30" s="85">
        <v>7.5</v>
      </c>
      <c r="H30" s="85">
        <v>9.4700000000000006</v>
      </c>
      <c r="I30" s="85">
        <v>47.91</v>
      </c>
      <c r="J30" s="85">
        <v>383.25</v>
      </c>
      <c r="K30" s="85">
        <v>6.38</v>
      </c>
      <c r="L30" s="85">
        <v>1.89</v>
      </c>
      <c r="M30" s="85">
        <v>11.63</v>
      </c>
      <c r="N30" s="85">
        <v>47.79</v>
      </c>
      <c r="O30" s="85">
        <v>2.25</v>
      </c>
    </row>
    <row r="31" spans="1:15" x14ac:dyDescent="0.25">
      <c r="A31" s="79" t="s">
        <v>152</v>
      </c>
      <c r="B31" s="80">
        <v>180</v>
      </c>
      <c r="C31" s="80">
        <v>70</v>
      </c>
      <c r="D31" s="80">
        <v>20</v>
      </c>
      <c r="E31" s="81">
        <v>2</v>
      </c>
      <c r="F31" s="81">
        <v>5.4</v>
      </c>
      <c r="G31" s="81">
        <v>5.47</v>
      </c>
      <c r="H31" s="81">
        <v>6.88</v>
      </c>
      <c r="I31" s="81">
        <v>39.75</v>
      </c>
      <c r="J31" s="81">
        <v>357.79</v>
      </c>
      <c r="K31" s="81">
        <v>7.21</v>
      </c>
      <c r="L31" s="81">
        <v>2.15</v>
      </c>
      <c r="M31" s="81">
        <v>9.81</v>
      </c>
      <c r="N31" s="81">
        <v>47.59</v>
      </c>
      <c r="O31" s="81">
        <v>2.63</v>
      </c>
    </row>
    <row r="32" spans="1:15" x14ac:dyDescent="0.25">
      <c r="A32" s="79" t="s">
        <v>153</v>
      </c>
      <c r="B32" s="80">
        <v>180</v>
      </c>
      <c r="C32" s="80">
        <v>70</v>
      </c>
      <c r="D32" s="80">
        <v>20</v>
      </c>
      <c r="E32" s="81">
        <v>2.5</v>
      </c>
      <c r="F32" s="81">
        <v>6.67</v>
      </c>
      <c r="G32" s="81">
        <v>6.74</v>
      </c>
      <c r="H32" s="81">
        <v>8.5</v>
      </c>
      <c r="I32" s="81">
        <v>49.09</v>
      </c>
      <c r="J32" s="81">
        <v>441.84</v>
      </c>
      <c r="K32" s="81">
        <v>7.21</v>
      </c>
      <c r="L32" s="81">
        <v>2.15</v>
      </c>
      <c r="M32" s="81">
        <v>11.99</v>
      </c>
      <c r="N32" s="81">
        <v>58.17</v>
      </c>
      <c r="O32" s="81">
        <v>2.62</v>
      </c>
    </row>
    <row r="33" spans="1:15" x14ac:dyDescent="0.25">
      <c r="A33" s="79" t="s">
        <v>154</v>
      </c>
      <c r="B33" s="80">
        <v>180</v>
      </c>
      <c r="C33" s="80">
        <v>70</v>
      </c>
      <c r="D33" s="80">
        <v>20</v>
      </c>
      <c r="E33" s="81">
        <v>3.2</v>
      </c>
      <c r="F33" s="81">
        <v>8.39</v>
      </c>
      <c r="G33" s="81">
        <v>8.4600000000000009</v>
      </c>
      <c r="H33" s="81">
        <v>10.69</v>
      </c>
      <c r="I33" s="81">
        <v>61.78</v>
      </c>
      <c r="J33" s="81">
        <v>555.99</v>
      </c>
      <c r="K33" s="81">
        <v>7.21</v>
      </c>
      <c r="L33" s="81">
        <v>2.15</v>
      </c>
      <c r="M33" s="81">
        <v>14.89</v>
      </c>
      <c r="N33" s="81">
        <v>72.16</v>
      </c>
      <c r="O33" s="81">
        <v>2.6</v>
      </c>
    </row>
    <row r="34" spans="1:15" x14ac:dyDescent="0.25">
      <c r="A34" s="79" t="s">
        <v>155</v>
      </c>
      <c r="B34" s="80">
        <v>200</v>
      </c>
      <c r="C34" s="80">
        <v>80</v>
      </c>
      <c r="D34" s="80">
        <v>20</v>
      </c>
      <c r="E34" s="81">
        <v>2</v>
      </c>
      <c r="F34" s="81">
        <v>6.03</v>
      </c>
      <c r="G34" s="81">
        <v>6.11</v>
      </c>
      <c r="H34" s="81">
        <v>7.68</v>
      </c>
      <c r="I34" s="81">
        <v>49.64</v>
      </c>
      <c r="J34" s="81">
        <v>496.36</v>
      </c>
      <c r="K34" s="81">
        <v>8.0399999999999991</v>
      </c>
      <c r="L34" s="81">
        <v>2.41</v>
      </c>
      <c r="M34" s="81">
        <v>12.12</v>
      </c>
      <c r="N34" s="81">
        <v>67.790000000000006</v>
      </c>
      <c r="O34" s="81">
        <v>2.97</v>
      </c>
    </row>
    <row r="35" spans="1:15" x14ac:dyDescent="0.25">
      <c r="A35" s="79" t="s">
        <v>156</v>
      </c>
      <c r="B35" s="80">
        <v>200</v>
      </c>
      <c r="C35" s="80">
        <v>80</v>
      </c>
      <c r="D35" s="80">
        <v>20</v>
      </c>
      <c r="E35" s="81">
        <v>2.5</v>
      </c>
      <c r="F35" s="81">
        <v>7.46</v>
      </c>
      <c r="G35" s="81">
        <v>7.53</v>
      </c>
      <c r="H35" s="81">
        <v>9.5</v>
      </c>
      <c r="I35" s="81">
        <v>61.37</v>
      </c>
      <c r="J35" s="81">
        <v>613.70000000000005</v>
      </c>
      <c r="K35" s="81">
        <v>8.0399999999999991</v>
      </c>
      <c r="L35" s="81">
        <v>2.41</v>
      </c>
      <c r="M35" s="81">
        <v>14.86</v>
      </c>
      <c r="N35" s="81">
        <v>83.06</v>
      </c>
      <c r="O35" s="81">
        <v>2.96</v>
      </c>
    </row>
    <row r="36" spans="1:15" x14ac:dyDescent="0.25">
      <c r="A36" s="79" t="s">
        <v>157</v>
      </c>
      <c r="B36" s="80">
        <v>200</v>
      </c>
      <c r="C36" s="80">
        <v>80</v>
      </c>
      <c r="D36" s="80">
        <v>20</v>
      </c>
      <c r="E36" s="81">
        <v>3.2</v>
      </c>
      <c r="F36" s="81">
        <v>9.39</v>
      </c>
      <c r="G36" s="81">
        <v>9.4700000000000006</v>
      </c>
      <c r="H36" s="81">
        <v>11.97</v>
      </c>
      <c r="I36" s="81">
        <v>77.36</v>
      </c>
      <c r="J36" s="81">
        <v>773.57</v>
      </c>
      <c r="K36" s="81">
        <v>8.0399999999999991</v>
      </c>
      <c r="L36" s="81">
        <v>2.41</v>
      </c>
      <c r="M36" s="81">
        <v>18.5</v>
      </c>
      <c r="N36" s="81">
        <v>103.38</v>
      </c>
      <c r="O36" s="81">
        <v>2.94</v>
      </c>
    </row>
    <row r="37" spans="1:15" x14ac:dyDescent="0.25">
      <c r="A37" s="79" t="s">
        <v>158</v>
      </c>
      <c r="B37" s="80">
        <v>220</v>
      </c>
      <c r="C37" s="80">
        <v>80</v>
      </c>
      <c r="D37" s="80">
        <v>20</v>
      </c>
      <c r="E37" s="81">
        <v>2</v>
      </c>
      <c r="F37" s="81">
        <v>6.34</v>
      </c>
      <c r="G37" s="81">
        <v>6.42</v>
      </c>
      <c r="H37" s="81">
        <v>8.08</v>
      </c>
      <c r="I37" s="81">
        <v>56.27</v>
      </c>
      <c r="J37" s="81">
        <v>618.92999999999995</v>
      </c>
      <c r="K37" s="81">
        <v>8.75</v>
      </c>
      <c r="L37" s="81">
        <v>2.2999999999999998</v>
      </c>
      <c r="M37" s="81">
        <v>12.24</v>
      </c>
      <c r="N37" s="81">
        <v>69.819999999999993</v>
      </c>
      <c r="O37" s="81">
        <v>2.94</v>
      </c>
    </row>
    <row r="38" spans="1:15" x14ac:dyDescent="0.25">
      <c r="A38" s="79" t="s">
        <v>159</v>
      </c>
      <c r="B38" s="80">
        <v>220</v>
      </c>
      <c r="C38" s="80">
        <v>80</v>
      </c>
      <c r="D38" s="80">
        <v>20</v>
      </c>
      <c r="E38" s="81">
        <v>2.5</v>
      </c>
      <c r="F38" s="81">
        <v>7.85</v>
      </c>
      <c r="G38" s="81">
        <v>7.93</v>
      </c>
      <c r="H38" s="81">
        <v>10</v>
      </c>
      <c r="I38" s="81">
        <v>69.61</v>
      </c>
      <c r="J38" s="81">
        <v>765.68</v>
      </c>
      <c r="K38" s="81">
        <v>8.75</v>
      </c>
      <c r="L38" s="81">
        <v>2.2999999999999998</v>
      </c>
      <c r="M38" s="81">
        <v>15.01</v>
      </c>
      <c r="N38" s="81">
        <v>85.55</v>
      </c>
      <c r="O38" s="81">
        <v>2.92</v>
      </c>
    </row>
    <row r="39" spans="1:15" x14ac:dyDescent="0.25">
      <c r="A39" s="79" t="s">
        <v>160</v>
      </c>
      <c r="B39" s="80">
        <v>220</v>
      </c>
      <c r="C39" s="80">
        <v>80</v>
      </c>
      <c r="D39" s="80">
        <v>20</v>
      </c>
      <c r="E39" s="81">
        <v>3.2</v>
      </c>
      <c r="F39" s="81">
        <v>9.9499999999999993</v>
      </c>
      <c r="G39" s="81">
        <v>10.029999999999999</v>
      </c>
      <c r="H39" s="81">
        <v>12.67</v>
      </c>
      <c r="I39" s="81">
        <v>87.81</v>
      </c>
      <c r="J39" s="81">
        <v>965.91</v>
      </c>
      <c r="K39" s="81">
        <v>8.75</v>
      </c>
      <c r="L39" s="81">
        <v>2.2999999999999998</v>
      </c>
      <c r="M39" s="81">
        <v>18.690000000000001</v>
      </c>
      <c r="N39" s="81">
        <v>106.47</v>
      </c>
      <c r="O39" s="81">
        <v>2.9</v>
      </c>
    </row>
    <row r="40" spans="1:15" x14ac:dyDescent="0.25">
      <c r="A40" s="79" t="s">
        <v>161</v>
      </c>
      <c r="B40" s="80">
        <v>240</v>
      </c>
      <c r="C40" s="80">
        <v>80</v>
      </c>
      <c r="D40" s="80">
        <v>25</v>
      </c>
      <c r="E40" s="81">
        <v>2.5</v>
      </c>
      <c r="F40" s="81">
        <v>8.44</v>
      </c>
      <c r="G40" s="81">
        <v>8.5299999999999994</v>
      </c>
      <c r="H40" s="81">
        <v>10.75</v>
      </c>
      <c r="I40" s="81">
        <v>76.25</v>
      </c>
      <c r="J40" s="81">
        <v>914.98</v>
      </c>
      <c r="K40" s="81">
        <v>9.31</v>
      </c>
      <c r="L40" s="81">
        <v>2.2799999999999998</v>
      </c>
      <c r="M40" s="81">
        <v>14.53</v>
      </c>
      <c r="N40" s="81">
        <v>85.68</v>
      </c>
      <c r="O40" s="81">
        <v>2.83</v>
      </c>
    </row>
    <row r="41" spans="1:15" x14ac:dyDescent="0.25">
      <c r="A41" s="79" t="s">
        <v>162</v>
      </c>
      <c r="B41" s="80">
        <v>240</v>
      </c>
      <c r="C41" s="80">
        <v>80</v>
      </c>
      <c r="D41" s="80">
        <v>25</v>
      </c>
      <c r="E41" s="81">
        <v>3.2</v>
      </c>
      <c r="F41" s="81">
        <v>10.7</v>
      </c>
      <c r="G41" s="81">
        <v>10.79</v>
      </c>
      <c r="H41" s="81">
        <v>13.63</v>
      </c>
      <c r="I41" s="81">
        <v>95.53</v>
      </c>
      <c r="J41" s="80" t="s">
        <v>124</v>
      </c>
      <c r="K41" s="81">
        <v>9.25</v>
      </c>
      <c r="L41" s="81">
        <v>2.2799999999999998</v>
      </c>
      <c r="M41" s="81">
        <v>17.850000000000001</v>
      </c>
      <c r="N41" s="81">
        <v>106.16</v>
      </c>
      <c r="O41" s="81">
        <v>2.79</v>
      </c>
    </row>
  </sheetData>
  <mergeCells count="9">
    <mergeCell ref="F2:F3"/>
    <mergeCell ref="G2:G3"/>
    <mergeCell ref="H2:H3"/>
    <mergeCell ref="I2:O2"/>
    <mergeCell ref="A2:A3"/>
    <mergeCell ref="D2:D3"/>
    <mergeCell ref="C2:C3"/>
    <mergeCell ref="B2:B3"/>
    <mergeCell ref="E2:E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7E1DFB-D660-44C8-93F3-3973BF09F3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 Inf</vt:lpstr>
      <vt:lpstr>C Sup</vt:lpstr>
      <vt:lpstr>Diagonales</vt:lpstr>
      <vt:lpstr>Montante</vt:lpstr>
      <vt:lpstr>Angulo</vt:lpstr>
      <vt:lpstr>PERFILES C TERNIUM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Cabrera</dc:creator>
  <cp:lastModifiedBy>USUARIO</cp:lastModifiedBy>
  <cp:lastPrinted>2023-03-21T17:38:35Z</cp:lastPrinted>
  <dcterms:created xsi:type="dcterms:W3CDTF">2015-06-05T18:17:20Z</dcterms:created>
  <dcterms:modified xsi:type="dcterms:W3CDTF">2023-05-03T17:42:49Z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2023-05-02T01:39:22Z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a7900d88-f2a9-4340-b322-e683e4cb0cdc</vt:lpwstr>
  </property>
  <property fmtid="{D5CDD505-2E9C-101B-9397-08002B2CF9AE}" pid="7" name="MSIP_Label_defa4170-0d19-0005-0004-bc88714345d2_ActionId">
    <vt:lpwstr>1c09dbfd-0613-49d5-9c9c-aa17499c6c07</vt:lpwstr>
  </property>
  <property fmtid="{D5CDD505-2E9C-101B-9397-08002B2CF9AE}" pid="8" name="MSIP_Label_defa4170-0d19-0005-0004-bc88714345d2_ContentBits">
    <vt:lpwstr>0</vt:lpwstr>
  </property>
</Properties>
</file>