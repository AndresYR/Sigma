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igma\Proyectos\23-010_TAYARA_Nave\01_Hojas de calculo\"/>
    </mc:Choice>
  </mc:AlternateContent>
  <xr:revisionPtr revIDLastSave="0" documentId="13_ncr:1_{012C11B5-7544-4A1E-B36F-549816687C7E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C Inf" sheetId="22" r:id="rId1"/>
    <sheet name="C Sup" sheetId="10" r:id="rId2"/>
    <sheet name="Diagonales" sheetId="13" r:id="rId3"/>
    <sheet name="Angulo" sheetId="21" r:id="rId4"/>
    <sheet name="PERFILES C TERNIUM" sheetId="4" r:id="rId5"/>
  </sheets>
  <functionGroups builtInGroupCount="19"/>
  <definedNames>
    <definedName name="DatosExternos_1" localSheetId="3" hidden="1">Angulo!$C$1:$T$32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22" l="1"/>
  <c r="B31" i="22"/>
  <c r="D30" i="22"/>
  <c r="F36" i="22" s="1"/>
  <c r="B30" i="22"/>
  <c r="D29" i="22"/>
  <c r="B29" i="22"/>
  <c r="D28" i="22"/>
  <c r="B28" i="22"/>
  <c r="D25" i="22"/>
  <c r="B25" i="22"/>
  <c r="C35" i="22" s="1"/>
  <c r="D24" i="22"/>
  <c r="B24" i="22"/>
  <c r="F34" i="22" s="1"/>
  <c r="J40" i="22" s="1"/>
  <c r="D23" i="22"/>
  <c r="B23" i="22"/>
  <c r="F33" i="22" s="1"/>
  <c r="H19" i="22"/>
  <c r="H18" i="22"/>
  <c r="B59" i="22" s="1"/>
  <c r="H17" i="22"/>
  <c r="E64" i="22" s="1"/>
  <c r="J3" i="13"/>
  <c r="J2" i="13"/>
  <c r="E4" i="13" a="1"/>
  <c r="E10" i="13" a="1"/>
  <c r="E16" i="13" a="1"/>
  <c r="E22" i="13" a="1"/>
  <c r="E21" i="13" a="1"/>
  <c r="E5" i="13" a="1"/>
  <c r="E11" i="13" a="1"/>
  <c r="E17" i="13" a="1"/>
  <c r="E23" i="13" a="1"/>
  <c r="E8" i="13" a="1"/>
  <c r="E6" i="13" a="1"/>
  <c r="E18" i="13" a="1"/>
  <c r="E24" i="13" a="1"/>
  <c r="E25" i="13" a="1"/>
  <c r="E14" i="13" a="1"/>
  <c r="E15" i="13" a="1"/>
  <c r="E12" i="13" a="1"/>
  <c r="E9" i="13" a="1"/>
  <c r="E7" i="13" a="1"/>
  <c r="E19" i="13" a="1"/>
  <c r="E20" i="13" a="1"/>
  <c r="E13" i="13" a="1"/>
  <c r="E26" i="13" a="1"/>
  <c r="E3" i="13" a="1"/>
  <c r="K43" i="22" l="1"/>
  <c r="J43" i="22"/>
  <c r="J41" i="22"/>
  <c r="B41" i="22" s="1"/>
  <c r="B42" i="22" s="1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F36" i="10" s="1"/>
  <c r="B30" i="10"/>
  <c r="D29" i="10"/>
  <c r="B29" i="10"/>
  <c r="D28" i="10"/>
  <c r="B28" i="10"/>
  <c r="D25" i="10"/>
  <c r="B25" i="10"/>
  <c r="D24" i="10"/>
  <c r="B24" i="10"/>
  <c r="F34" i="10" s="1"/>
  <c r="D23" i="10"/>
  <c r="B23" i="10"/>
  <c r="C33" i="10" s="1"/>
  <c r="B55" i="10" s="1"/>
  <c r="C55" i="10" s="1"/>
  <c r="H19" i="10"/>
  <c r="H18" i="10"/>
  <c r="B59" i="10" s="1"/>
  <c r="H17" i="10"/>
  <c r="E67" i="22" l="1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E128" i="10"/>
  <c r="F33" i="10"/>
  <c r="F35" i="10"/>
  <c r="C34" i="10"/>
  <c r="F37" i="10"/>
  <c r="J42" i="10" s="1"/>
  <c r="C35" i="10"/>
  <c r="N116" i="10" s="1"/>
  <c r="O122" i="22" l="1"/>
  <c r="O121" i="22"/>
  <c r="E70" i="22"/>
  <c r="E73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6" i="22" l="1"/>
  <c r="E81" i="22" s="1"/>
  <c r="B83" i="22" s="1"/>
  <c r="L43" i="10"/>
  <c r="B44" i="10" s="1"/>
  <c r="O122" i="10"/>
  <c r="O121" i="10"/>
  <c r="B41" i="10"/>
  <c r="B42" i="10" s="1"/>
  <c r="K40" i="10"/>
  <c r="E85" i="22" l="1"/>
  <c r="C83" i="22"/>
  <c r="E67" i="10"/>
  <c r="E70" i="10" s="1"/>
  <c r="B124" i="22" l="1"/>
  <c r="E132" i="22" s="1"/>
  <c r="B91" i="22"/>
  <c r="E99" i="22" s="1"/>
  <c r="B108" i="22"/>
  <c r="E73" i="10"/>
  <c r="E76" i="10" s="1"/>
  <c r="E81" i="10" s="1"/>
  <c r="B83" i="10" s="1"/>
  <c r="D102" i="22" l="1"/>
  <c r="L101" i="22"/>
  <c r="D135" i="22"/>
  <c r="L134" i="22"/>
  <c r="D110" i="22"/>
  <c r="E85" i="10"/>
  <c r="C83" i="10"/>
  <c r="E102" i="22" l="1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2" l="1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2" l="1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2" l="1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2" l="1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<sst xmlns="http://schemas.openxmlformats.org/spreadsheetml/2006/main" count="450" uniqueCount="250">
  <si>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</si>
  <si>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</si>
  <si>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</si>
  <si>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</si>
  <si>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</si>
  <si>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</si>
  <si>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</si>
  <si>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</si>
  <si>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</si>
  <si>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</si>
  <si>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</si>
  <si>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</si>
  <si>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</si>
  <si>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</si>
  <si>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</si>
  <si>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</si>
  <si>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</si>
  <si>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</si>
  <si>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</si>
  <si>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</si>
  <si>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</si>
  <si>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</si>
  <si>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</si>
  <si>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</si>
  <si>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</si>
  <si>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</si>
  <si>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</si>
  <si>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</si>
  <si>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</si>
  <si>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</si>
  <si>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</si>
  <si>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</si>
  <si>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</si>
  <si>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</si>
  <si>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</si>
  <si>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</si>
  <si>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</si>
  <si>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</si>
  <si>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</si>
  <si>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</si>
  <si>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</si>
  <si>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</si>
  <si>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</si>
  <si>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</si>
  <si>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</si>
  <si>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</si>
  <si>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</si>
  <si>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</si>
  <si>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</si>
  <si>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</si>
  <si>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</si>
  <si>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</si>
  <si>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</si>
  <si>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</si>
  <si>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</si>
  <si>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</si>
  <si>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</si>
  <si>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</si>
  <si>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</si>
  <si>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</si>
  <si>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</si>
  <si>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</si>
  <si>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</si>
  <si>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</si>
  <si>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</si>
  <si>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</si>
  <si>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</si>
  <si>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</si>
  <si>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</si>
  <si>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</si>
  <si>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</si>
  <si>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</si>
  <si>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</si>
  <si>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</si>
  <si>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</si>
  <si>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</si>
  <si>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</si>
  <si>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</si>
  <si>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</si>
  <si>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</si>
  <si>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</si>
  <si>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</si>
  <si>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</si>
  <si>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</si>
  <si>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</si>
  <si>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</si>
  <si>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</si>
  <si>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</si>
  <si>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</si>
  <si>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</si>
  <si>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</si>
  <si>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</si>
  <si>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</si>
  <si>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</si>
  <si>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</si>
  <si>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</si>
  <si>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</si>
  <si>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</si>
  <si>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</si>
  <si>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</si>
  <si>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</si>
  <si>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</si>
  <si>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</si>
  <si>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</si>
  <si>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</si>
  <si>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</si>
  <si>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</si>
  <si>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</si>
  <si>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</si>
  <si>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</si>
  <si>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</si>
  <si>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</si>
  <si>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</si>
  <si>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</si>
  <si>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</si>
  <si>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</si>
  <si>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</si>
  <si>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</si>
  <si>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</si>
  <si>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</si>
  <si>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</si>
  <si>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</si>
  <si>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</si>
  <si>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</si>
  <si>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</si>
  <si>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</si>
  <si>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</si>
  <si>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</si>
  <si>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</si>
  <si>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</si>
  <si>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</si>
  <si>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</si>
  <si>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</si>
  <si>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</si>
  <si>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</si>
  <si>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</si>
  <si>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</si>
  <si>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</si>
  <si>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</si>
  <si>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</si>
  <si>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</si>
  <si>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</si>
  <si>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</si>
  <si>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</si>
  <si>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</si>
  <si>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</si>
  <si>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</si>
  <si>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</si>
  <si>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</si>
  <si>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</si>
  <si>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</si>
  <si>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</si>
  <si>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</si>
  <si>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</si>
  <si>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</si>
  <si>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</si>
  <si>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</si>
  <si>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</si>
  <si>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</si>
  <si>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</si>
  <si>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</si>
  <si>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</si>
  <si>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</si>
  <si>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</si>
  <si>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</si>
  <si>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</si>
  <si>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</si>
  <si>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</si>
  <si>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</si>
  <si>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</si>
  <si>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</si>
  <si>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</si>
  <si>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</si>
  <si>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</si>
  <si>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</si>
  <si>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</si>
  <si>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</si>
  <si>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</si>
  <si>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</si>
  <si>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</si>
  <si>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</si>
  <si>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</si>
  <si>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</si>
  <si>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</si>
  <si>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</si>
  <si>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</si>
  <si>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</si>
  <si>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</si>
  <si>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</si>
  <si>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</si>
  <si>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</si>
  <si>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</si>
  <si>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</si>
  <si>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</si>
  <si>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</si>
  <si>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</si>
  <si>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</si>
  <si>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</si>
  <si>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</si>
  <si>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</si>
  <si>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</si>
  <si>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</si>
  <si>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</si>
  <si>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</si>
  <si>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</si>
  <si>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</si>
  <si>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</si>
  <si>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</si>
  <si>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</si>
  <si>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</si>
  <si>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</si>
  <si>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</si>
  <si>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</si>
  <si>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</si>
  <si>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</si>
  <si>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</si>
  <si>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</si>
  <si>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</si>
  <si>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</si>
  <si>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</si>
  <si>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</si>
  <si>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</si>
  <si>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</si>
  <si>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</si>
  <si>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</si>
  <si>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</si>
  <si>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</si>
  <si>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</si>
  <si>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</si>
  <si>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</si>
  <si>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</si>
  <si>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</si>
  <si>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</si>
  <si>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</si>
  <si>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</si>
  <si>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</si>
  <si>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</si>
  <si>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</si>
  <si>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</si>
  <si>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</si>
  <si>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</si>
  <si>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</si>
  <si>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</si>
  <si>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</si>
  <si>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</si>
  <si>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</si>
  <si>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</si>
  <si>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</si>
  <si>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Relacion</t>
  </si>
  <si>
    <t>Arriostramiento c/3m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</si>
</sst>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4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left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71" fontId="9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1:T32" tableType="queryTable" totalsRowShown="0">
  <autoFilter ref="C1:T32" xr:uid="{3866D068-A3B6-4E0D-BA36-A77FA03F0952}"/>
  <sortState xmlns:xlrd2="http://schemas.microsoft.com/office/spreadsheetml/2017/richdata2" ref="C2:T32">
    <sortCondition ref="I4:I32"/>
  </sortState>
  <tableColumns count="18">
    <tableColumn id="1" xr3:uid="{A26B1F45-B505-4E5F-8C10-388F8C43FFF7}" uniqueName="1" name="Ángulo" queryTableFieldId="1" dataDxfId="43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zoomScaleNormal="100" workbookViewId="0">
      <selection activeCell="K16" sqref="K16"/>
    </sheetView>
  </sheetViews>
  <sheetFormatPr baseColWidth="10" defaultColWidth="9.109375" defaultRowHeight="13.2" x14ac:dyDescent="0.25"/>
  <cols>
    <col min="1" max="1" width="12.6640625" style="1" customWidth="1"/>
    <col min="2" max="2" width="16.109375" style="1" customWidth="1"/>
    <col min="3" max="3" width="11.44140625" style="1" customWidth="1"/>
    <col min="4" max="4" width="13.33203125" style="1" bestFit="1" customWidth="1"/>
    <col min="5" max="5" width="18.5546875" style="1" customWidth="1"/>
    <col min="6" max="6" width="11.44140625" style="1" bestFit="1" customWidth="1"/>
    <col min="7" max="7" width="16.33203125" style="1" customWidth="1"/>
    <col min="8" max="8" width="19.6640625" style="64" customWidth="1"/>
    <col min="9" max="9" width="12.109375" style="1" bestFit="1" customWidth="1"/>
    <col min="10" max="10" width="9.109375" style="1"/>
    <col min="11" max="11" width="12" style="1" bestFit="1" customWidth="1"/>
    <col min="12" max="12" width="11.44140625" style="1" bestFit="1" customWidth="1"/>
    <col min="13" max="13" width="16.6640625" style="1" bestFit="1" customWidth="1"/>
    <col min="14" max="14" width="13.33203125" style="1" customWidth="1"/>
    <col min="15" max="15" width="9.109375" style="1"/>
    <col min="16" max="17" width="11.5546875" style="1" bestFit="1" customWidth="1"/>
    <col min="18" max="25" width="9.109375" style="1"/>
    <col min="26" max="26" width="13.33203125" style="1" customWidth="1"/>
    <col min="27" max="29" width="9.109375" style="1"/>
    <col min="30" max="30" width="12.88671875" style="1" customWidth="1"/>
    <col min="31" max="16384" width="9.109375" style="1"/>
  </cols>
  <sheetData>
    <row r="1" spans="1:30" x14ac:dyDescent="0.25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3.8" x14ac:dyDescent="0.25">
      <c r="A2" s="104" t="s">
        <v>168</v>
      </c>
      <c r="B2" s="104"/>
      <c r="C2" s="104"/>
      <c r="D2" s="104"/>
      <c r="E2" s="104"/>
      <c r="F2" s="104"/>
      <c r="G2" s="104"/>
      <c r="H2" s="104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5">
      <c r="A3" s="105"/>
      <c r="B3" s="105"/>
      <c r="C3" s="105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s="106"/>
      <c r="B4" s="106"/>
      <c r="C4" s="106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5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5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5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5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5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5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5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5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8" thickBot="1" x14ac:dyDescent="0.3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3">
      <c r="A15" s="107" t="s">
        <v>16</v>
      </c>
      <c r="B15" s="108"/>
      <c r="C15" s="108"/>
      <c r="D15" s="109" t="s">
        <v>148</v>
      </c>
      <c r="E15" s="109"/>
      <c r="F15" s="109"/>
      <c r="G15" s="110"/>
      <c r="H15" s="111"/>
      <c r="I15" s="2"/>
      <c r="J15" s="2"/>
      <c r="K15" s="101" t="s">
        <v>249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0" t="s">
        <v>78</v>
      </c>
      <c r="B17" s="99">
        <v>300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300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0" t="s">
        <v>79</v>
      </c>
      <c r="B18" s="99">
        <v>300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300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150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5">
      <c r="A21" s="112" t="s">
        <v>1</v>
      </c>
      <c r="B21" s="112"/>
      <c r="C21" s="112"/>
      <c r="D21" s="112"/>
      <c r="E21" s="112"/>
      <c r="F21" s="112"/>
      <c r="G21" s="112"/>
      <c r="H21" s="11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5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113" t="s">
        <v>20</v>
      </c>
      <c r="B33" s="113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113" t="s">
        <v>21</v>
      </c>
      <c r="B34" s="113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113" t="s">
        <v>22</v>
      </c>
      <c r="B35" s="113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114" t="s">
        <v>72</v>
      </c>
      <c r="B39" s="115"/>
      <c r="C39" s="115"/>
      <c r="D39" s="115"/>
      <c r="E39" s="115"/>
      <c r="F39" s="115"/>
      <c r="G39" s="115"/>
      <c r="H39" s="11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7"/>
      <c r="G40" s="2"/>
      <c r="H40" s="60"/>
      <c r="I40" s="119" t="s">
        <v>81</v>
      </c>
      <c r="J40" s="35">
        <f>F34*(((3*F33^2*F34)+(B19*F35*(6*F33^2-8*F35^2))))</f>
        <v>29565.096140799997</v>
      </c>
      <c r="K40" s="117">
        <f>+ROUND(J40/J41,2)</f>
        <v>2.82</v>
      </c>
      <c r="L40" s="118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19"/>
      <c r="J41" s="33">
        <f>+(F33^3+(6*F33^2*F34)+B19*F35*(8*F35^2-12*F33*F35+6*F33^2))</f>
        <v>10498.029055999999</v>
      </c>
      <c r="K41" s="117"/>
      <c r="L41" s="118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19" t="s">
        <v>92</v>
      </c>
      <c r="J43" s="120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19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19"/>
      <c r="J44" s="120"/>
      <c r="K44" s="33">
        <f>6*F33^2*F34+(F33+2*B19*F35)^3-24*B19*F33*F35^2</f>
        <v>10498.029055999999</v>
      </c>
      <c r="L44" s="119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5">
      <c r="A46" s="112" t="s">
        <v>35</v>
      </c>
      <c r="B46" s="112"/>
      <c r="C46" s="112"/>
      <c r="D46" s="112"/>
      <c r="E46" s="112"/>
      <c r="F46" s="112"/>
      <c r="G46" s="112"/>
      <c r="H46" s="11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122" t="s">
        <v>30</v>
      </c>
      <c r="B48" s="122"/>
      <c r="C48" s="122"/>
      <c r="D48" s="122"/>
      <c r="E48" s="122"/>
      <c r="F48" s="122"/>
      <c r="G48" s="122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5">
      <c r="A50" s="13" t="s">
        <v>26</v>
      </c>
      <c r="B50" s="14" t="s">
        <v>27</v>
      </c>
      <c r="C50" s="2">
        <f>+$C$34/$D$23</f>
        <v>14.749999999999998</v>
      </c>
      <c r="D50" s="123" t="str">
        <f>+IF($C$50&lt;60,"&lt; 60 - Elemento comp. rigidizado vinculado a ala o alma", " &gt; 60 - Elemento NO rigidizado")</f>
        <v>&lt; 60 - Elemento comp. rigidizado vinculado a ala o alma</v>
      </c>
      <c r="E50" s="123"/>
      <c r="F50" s="123"/>
      <c r="G50" s="123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13" t="s">
        <v>28</v>
      </c>
      <c r="B51" s="14" t="s">
        <v>31</v>
      </c>
      <c r="C51" s="2">
        <f>+$C$35/$D$23</f>
        <v>4.25</v>
      </c>
      <c r="D51" s="124" t="str">
        <f>+IF($C$51&lt;60,"&lt; 60 - Elemento no rigidizado", "VER REGLAMENTO")</f>
        <v>&lt; 60 - Elemento no rigidizado</v>
      </c>
      <c r="E51" s="124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122" t="s">
        <v>32</v>
      </c>
      <c r="B53" s="122"/>
      <c r="C53" s="122"/>
      <c r="D53" s="122"/>
      <c r="E53" s="122"/>
      <c r="F53" s="122"/>
      <c r="G53" s="122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13" t="s">
        <v>33</v>
      </c>
      <c r="B55" s="99">
        <f>+$C$33/$D$23</f>
        <v>39.75</v>
      </c>
      <c r="C55" s="123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3"/>
      <c r="E55" s="123"/>
      <c r="F55" s="123"/>
      <c r="G55" s="123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5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5">
      <c r="A57" s="125" t="s">
        <v>95</v>
      </c>
      <c r="B57" s="125"/>
      <c r="C57" s="125"/>
      <c r="D57" s="125"/>
      <c r="E57" s="125"/>
      <c r="F57" s="125"/>
      <c r="G57" s="125"/>
      <c r="H57" s="125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5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5">
      <c r="A59" s="2"/>
      <c r="B59" s="126">
        <f>+ROUND((PI()^2*$G$24)/($H$18/$D$29)^2,2)</f>
        <v>114.01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5">
      <c r="A60" s="2"/>
      <c r="B60" s="126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5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5">
      <c r="A62" s="112" t="s">
        <v>96</v>
      </c>
      <c r="B62" s="112"/>
      <c r="C62" s="112"/>
      <c r="D62" s="112"/>
      <c r="E62" s="112"/>
      <c r="F62" s="112"/>
      <c r="G62" s="112"/>
      <c r="H62" s="11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5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5">
      <c r="A64" s="2"/>
      <c r="B64" s="2"/>
      <c r="C64" s="2"/>
      <c r="D64" s="2"/>
      <c r="E64" s="126">
        <f>+ROUND((PI()^2*$G$24)/($H$17/$D$28)^2,2)</f>
        <v>700.14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5">
      <c r="A65" s="2"/>
      <c r="B65" s="2"/>
      <c r="C65" s="2"/>
      <c r="D65" s="2"/>
      <c r="E65" s="126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5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5">
      <c r="A67" s="2"/>
      <c r="B67" s="2"/>
      <c r="C67" s="2"/>
      <c r="D67" s="2"/>
      <c r="E67" s="127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5">
      <c r="A68" s="2"/>
      <c r="B68" s="2"/>
      <c r="C68" s="2"/>
      <c r="D68" s="2"/>
      <c r="E68" s="127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5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5">
      <c r="A70" s="2"/>
      <c r="B70" s="2"/>
      <c r="C70" s="2"/>
      <c r="D70" s="2"/>
      <c r="E70" s="126">
        <f>+ROUND((1/(D25*E67^2)*(G25*B43+((PI()^2*G24*B44)/H19^2))),2)</f>
        <v>350.49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5">
      <c r="A71" s="2"/>
      <c r="B71" s="2"/>
      <c r="C71" s="2"/>
      <c r="D71" s="2"/>
      <c r="E71" s="126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5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5">
      <c r="A73" s="2"/>
      <c r="B73" s="2"/>
      <c r="C73" s="2"/>
      <c r="D73" s="2"/>
      <c r="E73" s="121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5">
      <c r="A74" s="2"/>
      <c r="B74" s="2"/>
      <c r="C74" s="2"/>
      <c r="D74" s="2"/>
      <c r="E74" s="121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5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5">
      <c r="A76" s="2"/>
      <c r="B76" s="2"/>
      <c r="C76" s="2"/>
      <c r="D76" s="2"/>
      <c r="E76" s="126">
        <f>+ROUND((1/(2*$E$73))*((E64+E70)-((E64+E70)^2-4*E73*E64*E70)^(1/2)),2)</f>
        <v>277.45999999999998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5">
      <c r="A77" s="2"/>
      <c r="B77" s="2"/>
      <c r="C77" s="2"/>
      <c r="D77" s="2"/>
      <c r="E77" s="126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5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5">
      <c r="A79" s="112" t="s">
        <v>97</v>
      </c>
      <c r="B79" s="112"/>
      <c r="C79" s="112"/>
      <c r="D79" s="112"/>
      <c r="E79" s="112"/>
      <c r="F79" s="112"/>
      <c r="G79" s="112"/>
      <c r="H79" s="11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5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5">
      <c r="A81" s="2"/>
      <c r="B81" s="2"/>
      <c r="C81" s="2"/>
      <c r="D81" s="93" t="s">
        <v>94</v>
      </c>
      <c r="E81" s="94">
        <f>+MIN($B$59,$E$76)</f>
        <v>114.01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5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5">
      <c r="A83" s="2"/>
      <c r="B83" s="2">
        <f>+ROUND((G23/E81)^(1/2),3)</f>
        <v>1.4359999999999999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5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5">
      <c r="A85" s="2"/>
      <c r="B85" s="2"/>
      <c r="C85" s="2"/>
      <c r="D85" s="93" t="s">
        <v>98</v>
      </c>
      <c r="E85" s="94">
        <f>+ROUND(IF(B83&lt;=1.5,(0.658^(B83^2))*G23,((0.877/(B83^2))*G23)),2)</f>
        <v>99.14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5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5">
      <c r="A87" s="112" t="s">
        <v>99</v>
      </c>
      <c r="B87" s="112"/>
      <c r="C87" s="112"/>
      <c r="D87" s="112"/>
      <c r="E87" s="112"/>
      <c r="F87" s="112"/>
      <c r="G87" s="112"/>
      <c r="H87" s="11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5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5">
      <c r="A89" s="113" t="s">
        <v>93</v>
      </c>
      <c r="B89" s="113"/>
      <c r="C89" s="113"/>
      <c r="D89" s="113"/>
      <c r="E89" s="113"/>
      <c r="F89" s="113"/>
      <c r="G89" s="113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5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5">
      <c r="A91" s="89" t="s">
        <v>100</v>
      </c>
      <c r="B91" s="90">
        <f>+E85</f>
        <v>99.14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5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5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5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5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5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5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5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5">
      <c r="A99" s="2"/>
      <c r="B99" s="2"/>
      <c r="C99" s="2"/>
      <c r="D99" s="21" t="s">
        <v>41</v>
      </c>
      <c r="E99" s="72">
        <f>+ROUND(SQRT($B$91/$E$95),3)</f>
        <v>0.152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5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5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-2.94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5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1" t="str">
        <f>+IF(D102="be=b", "Totalmente efectivo", "Parcialmente efectivo")</f>
        <v>Totalmente efectivo</v>
      </c>
      <c r="G102" s="121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5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5">
      <c r="A104" s="113" t="s">
        <v>44</v>
      </c>
      <c r="B104" s="113"/>
      <c r="C104" s="113"/>
      <c r="D104" s="113"/>
      <c r="E104" s="113"/>
      <c r="F104" s="113"/>
      <c r="G104" s="113"/>
      <c r="H104" s="128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5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5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5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5">
      <c r="A108" s="89" t="s">
        <v>100</v>
      </c>
      <c r="B108" s="90">
        <f>+E85</f>
        <v>99.14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5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5">
      <c r="A110" s="2"/>
      <c r="B110" s="2"/>
      <c r="C110" s="21" t="s">
        <v>46</v>
      </c>
      <c r="D110" s="2">
        <f>ROUND(1.28*SQRT($G$24/$B$108),2)</f>
        <v>57.49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5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3.8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&lt;</v>
      </c>
      <c r="F112" s="24">
        <f>+ROUND(D110*0.328,2)</f>
        <v>18.86</v>
      </c>
      <c r="G112" s="91" t="s">
        <v>48</v>
      </c>
      <c r="H112" s="62" t="s">
        <v>45</v>
      </c>
      <c r="I112" s="129" t="s">
        <v>49</v>
      </c>
      <c r="J112" s="130"/>
      <c r="K112" s="131" t="s">
        <v>64</v>
      </c>
      <c r="L112" s="132"/>
      <c r="M112" s="133" t="s">
        <v>58</v>
      </c>
      <c r="N112" s="134"/>
      <c r="O112" s="134"/>
      <c r="P112" s="134"/>
      <c r="Q112" s="134"/>
      <c r="R112" s="134"/>
      <c r="S112" s="134"/>
      <c r="T112" s="134"/>
      <c r="U112" s="135" t="s">
        <v>60</v>
      </c>
      <c r="V112" s="136"/>
      <c r="W112" s="2"/>
      <c r="X112" s="2"/>
      <c r="Y112" s="2"/>
      <c r="Z112" s="2"/>
      <c r="AA112" s="2"/>
      <c r="AB112" s="2"/>
      <c r="AC112" s="2"/>
      <c r="AD112" s="2"/>
    </row>
    <row r="113" spans="1:30" x14ac:dyDescent="0.25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-1.5250397E-3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5">
      <c r="A114" s="2"/>
      <c r="B114" s="2"/>
      <c r="C114" s="2"/>
      <c r="D114" s="137" t="str">
        <f>+IF($D$112&lt;=$F$112,$I$112,$K$112)</f>
        <v>Para b/t ≤ 0.328 S</v>
      </c>
      <c r="E114" s="138"/>
      <c r="F114" s="2"/>
      <c r="G114" s="2"/>
      <c r="I114" s="31" t="s">
        <v>51</v>
      </c>
      <c r="J114" s="4">
        <f>+$C$34</f>
        <v>4.72</v>
      </c>
      <c r="K114" s="66" t="e">
        <f>+IF(N125&lt;=0.673,"be=b","be=ρ x b")</f>
        <v>#NUM!</v>
      </c>
      <c r="L114" s="42" t="e">
        <f>+$N$126</f>
        <v>#NUM!</v>
      </c>
      <c r="M114" s="31" t="s">
        <v>54</v>
      </c>
      <c r="N114" s="36">
        <f>ROUND(399*$D$23^4*(($D$112/$D$110)-0.328)^3,10)</f>
        <v>-1.5250397E-3</v>
      </c>
      <c r="O114" s="37" t="str">
        <f>+IF($N$114&lt;=$P$114,"&lt;","&gt;")</f>
        <v>&lt;</v>
      </c>
      <c r="P114" s="34">
        <f>+ROUND($D$23^4*((115*$D$112/$D$110)+5),2)</f>
        <v>0.36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6" x14ac:dyDescent="0.35">
      <c r="A115" s="2"/>
      <c r="B115" s="2"/>
      <c r="C115" s="2"/>
      <c r="D115" s="56" t="str">
        <f>+IF($D$112&lt;=$F$112,I113,K113)</f>
        <v>Ia</v>
      </c>
      <c r="E115" s="43">
        <f>+IF($D$112&lt;=$F$112,J113,L113)</f>
        <v>0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 t="e">
        <f>+($L$114/2)*$N$117</f>
        <v>#NUM!</v>
      </c>
      <c r="M115" s="52" t="s">
        <v>50</v>
      </c>
      <c r="N115" s="30">
        <f>+IF($N$114&lt;=$P$114,$N$114,$P$114)</f>
        <v>-1.5250397E-3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6" x14ac:dyDescent="0.35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1" t="str">
        <f>+IF($D$112&lt;=$F$112,"Totalmente efectivo",IF($N$125&lt;=0.673,"Totalmente efectivo","Parcialmente efectivo"))</f>
        <v>Totalmente efectivo</v>
      </c>
      <c r="G116" s="121"/>
      <c r="H116" s="60"/>
      <c r="I116" s="31" t="s">
        <v>52</v>
      </c>
      <c r="J116" s="4">
        <f>+$C$35</f>
        <v>1.36</v>
      </c>
      <c r="K116" s="49" t="s">
        <v>66</v>
      </c>
      <c r="L116" s="42" t="e">
        <f>+$L$114-$L$115</f>
        <v>#NUM!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6" x14ac:dyDescent="0.35">
      <c r="A117" s="2"/>
      <c r="B117" s="2"/>
      <c r="C117" s="2"/>
      <c r="D117" s="56" t="str">
        <f t="shared" si="0"/>
        <v>be1=be2=b/2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-59.74926423226885</v>
      </c>
      <c r="M117" s="53" t="s">
        <v>57</v>
      </c>
      <c r="N117" s="30">
        <f>+IF($N$116/$N$115&lt;1,$N$116/$N$115,1)</f>
        <v>-43.933282523727094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6" x14ac:dyDescent="0.35">
      <c r="A118" s="2"/>
      <c r="B118" s="2"/>
      <c r="C118" s="2"/>
      <c r="D118" s="56" t="str">
        <f t="shared" si="0"/>
        <v>ds=d's</v>
      </c>
      <c r="E118" s="40">
        <f t="shared" si="0"/>
        <v>1.36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839.9940179523486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5">
      <c r="A119" s="2"/>
      <c r="B119" s="2"/>
      <c r="C119" s="2"/>
      <c r="D119" s="56" t="str">
        <f t="shared" si="0"/>
        <v>As=A's</v>
      </c>
      <c r="E119" s="40">
        <f t="shared" si="0"/>
        <v>0.43520000000000003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0.51800000000000002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5">
      <c r="A120" s="2"/>
      <c r="B120" s="2"/>
      <c r="C120" s="2"/>
      <c r="D120" s="57">
        <f>+IF($D$112&lt;=$F$112,I118,K118)</f>
        <v>0</v>
      </c>
      <c r="E120" s="55">
        <f t="shared" si="0"/>
        <v>0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5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 t="e">
        <f>ROUND(IF((3.57*(N117)^$N$119)+0.43&lt;=4,3.57*(N117)^$N$119+0.43,4),3)</f>
        <v>#NUM!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5">
      <c r="A122" s="113" t="s">
        <v>102</v>
      </c>
      <c r="B122" s="113"/>
      <c r="C122" s="113"/>
      <c r="D122" s="113"/>
      <c r="E122" s="113"/>
      <c r="F122" s="113"/>
      <c r="G122" s="113"/>
      <c r="H122" s="87" t="s">
        <v>36</v>
      </c>
      <c r="I122" s="2"/>
      <c r="J122" s="2"/>
      <c r="K122" s="2"/>
      <c r="L122" s="2"/>
      <c r="M122" s="47"/>
      <c r="N122" s="45" t="e">
        <f>+ROUND((IF((4.82-(5*$B$25/$C$34))*($N$117^$N$119)+0.43&lt;=4,(4.82-(5*$B$25/$C$34))*($N$117^$N$119)+0.43,4)),3)</f>
        <v>#NUM!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5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 t="e">
        <f>+IF($N$120&lt;=0.25,$N$121,$N$122)</f>
        <v>#NUM!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5">
      <c r="A124" s="89" t="s">
        <v>100</v>
      </c>
      <c r="B124" s="90">
        <f>+E85</f>
        <v>99.14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 t="e">
        <f>ROUND(($N$123*PI()^2*$G$24/(12*(1-$G$26^2)))*(D23/C34)^2,0)</f>
        <v>#NUM!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5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 t="e">
        <f>+ROUND(SQRT($B$108/$N$124),2)</f>
        <v>#NUM!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5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e">
        <f>+IF(N125&lt;=0.673,"be=b","be=ρ x b")</f>
        <v>#NUM!</v>
      </c>
      <c r="N126" s="38" t="e">
        <f>+IF($N$125&lt;=0.673,$C$34,((1-0.22/$N$125)/$N$125)*$C$34)</f>
        <v>#NUM!</v>
      </c>
      <c r="O126" s="121" t="e">
        <f>+IF(M126="be=b", "Totalmente efectivo", "Parcialmente efectivo")</f>
        <v>#NUM!</v>
      </c>
      <c r="P126" s="121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5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5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5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5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5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5">
      <c r="A132" s="2"/>
      <c r="B132" s="2"/>
      <c r="C132" s="2"/>
      <c r="D132" s="21" t="s">
        <v>41</v>
      </c>
      <c r="E132" s="72">
        <f>+ROUND(SQRT($B$124/$E$128),3)</f>
        <v>0.46500000000000002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5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5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1.133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5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21" t="str">
        <f>+IF(D135="be=b", "Totalmente efectivo", "Parcialmente efectivo")</f>
        <v>Totalmente efectivo</v>
      </c>
      <c r="G135" s="121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5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5">
      <c r="A137" s="137" t="str">
        <f>+IF(AND(D116="be=b",D102="be=b",D135="be=b"),"SECCION TOTALMENTE EFECTIVA","SECCION PARCIALMENTE EFECTIVA")</f>
        <v>SECCION TOTALMENTE EFECTIVA</v>
      </c>
      <c r="B137" s="139"/>
      <c r="C137" s="139"/>
      <c r="D137" s="139"/>
      <c r="E137" s="139"/>
      <c r="F137" s="139"/>
      <c r="G137" s="139"/>
      <c r="H137" s="138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5">
      <c r="H138" s="60"/>
    </row>
    <row r="139" spans="1:30" x14ac:dyDescent="0.25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5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5">
      <c r="A141" s="112" t="s">
        <v>105</v>
      </c>
      <c r="B141" s="112"/>
      <c r="C141" s="112"/>
      <c r="D141" s="112"/>
      <c r="E141" s="112"/>
      <c r="F141" s="112"/>
      <c r="G141" s="112"/>
      <c r="H141" s="112"/>
      <c r="I141" s="2"/>
      <c r="J141" s="2"/>
      <c r="K141" s="101" t="s">
        <v>174</v>
      </c>
      <c r="L141" s="2"/>
      <c r="M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5">
      <c r="A142" s="2"/>
      <c r="B142" s="2"/>
      <c r="C142" s="2"/>
      <c r="D142" s="2"/>
      <c r="E142" s="2"/>
      <c r="F142" s="2"/>
      <c r="G142" s="2"/>
      <c r="H142" s="60"/>
      <c r="J142" s="101"/>
      <c r="K142" s="2">
        <v>59.37</v>
      </c>
      <c r="L142" s="101" t="s">
        <v>170</v>
      </c>
      <c r="M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5">
      <c r="A143" s="2"/>
      <c r="B143" s="2"/>
      <c r="C143" s="2"/>
      <c r="D143" s="20" t="s">
        <v>104</v>
      </c>
      <c r="E143" s="78">
        <f>0.85*E139*E85*10^-1</f>
        <v>73.903913000000003</v>
      </c>
      <c r="F143" s="2"/>
      <c r="G143" s="2"/>
      <c r="H143" s="60"/>
      <c r="J143" s="101"/>
      <c r="K143" s="103">
        <v>63.87</v>
      </c>
      <c r="L143" s="102" t="s">
        <v>172</v>
      </c>
      <c r="M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5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5">
      <c r="H145" s="77"/>
    </row>
    <row r="146" spans="8:8" s="2" customFormat="1" x14ac:dyDescent="0.25">
      <c r="H146" s="77"/>
    </row>
    <row r="147" spans="8:8" s="2" customFormat="1" x14ac:dyDescent="0.25">
      <c r="H147" s="77"/>
    </row>
    <row r="148" spans="8:8" s="2" customFormat="1" x14ac:dyDescent="0.25">
      <c r="H148" s="77"/>
    </row>
    <row r="149" spans="8:8" s="2" customFormat="1" x14ac:dyDescent="0.25">
      <c r="H149" s="77"/>
    </row>
    <row r="150" spans="8:8" s="2" customFormat="1" x14ac:dyDescent="0.25">
      <c r="H150" s="77"/>
    </row>
    <row r="151" spans="8:8" s="2" customFormat="1" x14ac:dyDescent="0.25">
      <c r="H151" s="77"/>
    </row>
    <row r="152" spans="8:8" s="2" customFormat="1" x14ac:dyDescent="0.25">
      <c r="H152" s="77"/>
    </row>
    <row r="153" spans="8:8" s="2" customFormat="1" x14ac:dyDescent="0.25">
      <c r="H153" s="77"/>
    </row>
    <row r="154" spans="8:8" s="2" customFormat="1" x14ac:dyDescent="0.25">
      <c r="H154" s="77"/>
    </row>
    <row r="155" spans="8:8" s="2" customFormat="1" x14ac:dyDescent="0.25">
      <c r="H155" s="77"/>
    </row>
    <row r="156" spans="8:8" s="2" customFormat="1" x14ac:dyDescent="0.25">
      <c r="H156" s="77"/>
    </row>
    <row r="157" spans="8:8" s="2" customFormat="1" x14ac:dyDescent="0.25">
      <c r="H157" s="77"/>
    </row>
    <row r="158" spans="8:8" s="2" customFormat="1" x14ac:dyDescent="0.25">
      <c r="H158" s="77"/>
    </row>
    <row r="159" spans="8:8" s="2" customFormat="1" x14ac:dyDescent="0.25">
      <c r="H159" s="77"/>
    </row>
    <row r="160" spans="8:8" s="2" customFormat="1" x14ac:dyDescent="0.25">
      <c r="H160" s="77"/>
    </row>
    <row r="161" spans="8:8" s="2" customFormat="1" x14ac:dyDescent="0.25">
      <c r="H161" s="77"/>
    </row>
    <row r="162" spans="8:8" s="2" customFormat="1" x14ac:dyDescent="0.25">
      <c r="H162" s="77"/>
    </row>
    <row r="163" spans="8:8" s="2" customFormat="1" x14ac:dyDescent="0.25">
      <c r="H163" s="77"/>
    </row>
    <row r="164" spans="8:8" s="2" customFormat="1" x14ac:dyDescent="0.25">
      <c r="H164" s="77"/>
    </row>
    <row r="165" spans="8:8" s="2" customFormat="1" x14ac:dyDescent="0.25">
      <c r="H165" s="77"/>
    </row>
    <row r="166" spans="8:8" s="2" customFormat="1" x14ac:dyDescent="0.25">
      <c r="H166" s="77"/>
    </row>
    <row r="167" spans="8:8" s="2" customFormat="1" x14ac:dyDescent="0.25">
      <c r="H167" s="77"/>
    </row>
    <row r="168" spans="8:8" s="2" customFormat="1" x14ac:dyDescent="0.25">
      <c r="H168" s="77"/>
    </row>
    <row r="169" spans="8:8" s="2" customFormat="1" x14ac:dyDescent="0.25">
      <c r="H169" s="77"/>
    </row>
    <row r="170" spans="8:8" s="2" customFormat="1" x14ac:dyDescent="0.25">
      <c r="H170" s="77"/>
    </row>
    <row r="171" spans="8:8" s="2" customFormat="1" x14ac:dyDescent="0.25">
      <c r="H171" s="77"/>
    </row>
    <row r="172" spans="8:8" s="2" customFormat="1" x14ac:dyDescent="0.25">
      <c r="H172" s="77"/>
    </row>
    <row r="173" spans="8:8" s="2" customFormat="1" x14ac:dyDescent="0.25">
      <c r="H173" s="77"/>
    </row>
    <row r="174" spans="8:8" s="2" customFormat="1" x14ac:dyDescent="0.25">
      <c r="H174" s="77"/>
    </row>
    <row r="175" spans="8:8" s="2" customFormat="1" x14ac:dyDescent="0.25">
      <c r="H175" s="77"/>
    </row>
    <row r="176" spans="8:8" s="2" customFormat="1" x14ac:dyDescent="0.25">
      <c r="H176" s="77"/>
    </row>
    <row r="177" spans="8:8" s="2" customFormat="1" x14ac:dyDescent="0.25">
      <c r="H177" s="77"/>
    </row>
    <row r="178" spans="8:8" s="2" customFormat="1" x14ac:dyDescent="0.25">
      <c r="H178" s="77"/>
    </row>
    <row r="179" spans="8:8" s="2" customFormat="1" x14ac:dyDescent="0.25">
      <c r="H179" s="77"/>
    </row>
    <row r="180" spans="8:8" s="2" customFormat="1" x14ac:dyDescent="0.25">
      <c r="H180" s="77"/>
    </row>
    <row r="181" spans="8:8" s="2" customFormat="1" x14ac:dyDescent="0.25">
      <c r="H181" s="77"/>
    </row>
    <row r="182" spans="8:8" s="2" customFormat="1" x14ac:dyDescent="0.25">
      <c r="H182" s="77"/>
    </row>
    <row r="183" spans="8:8" s="2" customFormat="1" x14ac:dyDescent="0.25">
      <c r="H183" s="77"/>
    </row>
    <row r="184" spans="8:8" s="2" customFormat="1" x14ac:dyDescent="0.25">
      <c r="H184" s="77"/>
    </row>
    <row r="185" spans="8:8" s="2" customFormat="1" x14ac:dyDescent="0.25">
      <c r="H185" s="77"/>
    </row>
    <row r="186" spans="8:8" s="2" customFormat="1" x14ac:dyDescent="0.25">
      <c r="H186" s="77"/>
    </row>
    <row r="187" spans="8:8" s="2" customFormat="1" x14ac:dyDescent="0.25">
      <c r="H187" s="77"/>
    </row>
    <row r="188" spans="8:8" s="2" customFormat="1" x14ac:dyDescent="0.25">
      <c r="H188" s="77"/>
    </row>
    <row r="189" spans="8:8" s="2" customFormat="1" x14ac:dyDescent="0.25">
      <c r="H189" s="77"/>
    </row>
    <row r="190" spans="8:8" x14ac:dyDescent="0.25">
      <c r="H190" s="75"/>
    </row>
    <row r="191" spans="8:8" x14ac:dyDescent="0.25">
      <c r="H191" s="75"/>
    </row>
    <row r="192" spans="8:8" x14ac:dyDescent="0.25">
      <c r="H192" s="75"/>
    </row>
    <row r="193" spans="8:8" x14ac:dyDescent="0.25">
      <c r="H193" s="75"/>
    </row>
    <row r="194" spans="8:8" x14ac:dyDescent="0.25">
      <c r="H194" s="75"/>
    </row>
    <row r="195" spans="8:8" x14ac:dyDescent="0.25">
      <c r="H195" s="75"/>
    </row>
    <row r="196" spans="8:8" x14ac:dyDescent="0.25">
      <c r="H196" s="75"/>
    </row>
    <row r="197" spans="8:8" x14ac:dyDescent="0.25">
      <c r="H197" s="75"/>
    </row>
    <row r="198" spans="8:8" x14ac:dyDescent="0.25">
      <c r="H198" s="75"/>
    </row>
    <row r="199" spans="8:8" x14ac:dyDescent="0.25">
      <c r="H199" s="75"/>
    </row>
    <row r="200" spans="8:8" x14ac:dyDescent="0.25">
      <c r="H200" s="75"/>
    </row>
    <row r="201" spans="8:8" x14ac:dyDescent="0.25">
      <c r="H201" s="75"/>
    </row>
    <row r="202" spans="8:8" x14ac:dyDescent="0.25">
      <c r="H202" s="75"/>
    </row>
    <row r="203" spans="8:8" x14ac:dyDescent="0.25">
      <c r="H203" s="75"/>
    </row>
    <row r="204" spans="8:8" x14ac:dyDescent="0.25">
      <c r="H204" s="75"/>
    </row>
    <row r="205" spans="8:8" x14ac:dyDescent="0.25">
      <c r="H205" s="75"/>
    </row>
    <row r="206" spans="8:8" x14ac:dyDescent="0.25">
      <c r="H206" s="75"/>
    </row>
    <row r="207" spans="8:8" x14ac:dyDescent="0.25">
      <c r="H207" s="75"/>
    </row>
    <row r="208" spans="8:8" x14ac:dyDescent="0.25">
      <c r="H208" s="75"/>
    </row>
    <row r="209" spans="8:8" x14ac:dyDescent="0.25">
      <c r="H209" s="75"/>
    </row>
    <row r="210" spans="8:8" x14ac:dyDescent="0.25">
      <c r="H210" s="75"/>
    </row>
    <row r="211" spans="8:8" x14ac:dyDescent="0.25">
      <c r="H211" s="75"/>
    </row>
    <row r="212" spans="8:8" x14ac:dyDescent="0.25">
      <c r="H212" s="75"/>
    </row>
    <row r="213" spans="8:8" x14ac:dyDescent="0.25">
      <c r="H213" s="75"/>
    </row>
    <row r="214" spans="8:8" x14ac:dyDescent="0.25">
      <c r="H214" s="75"/>
    </row>
    <row r="215" spans="8:8" x14ac:dyDescent="0.25">
      <c r="H215" s="75"/>
    </row>
    <row r="216" spans="8:8" x14ac:dyDescent="0.25">
      <c r="H216" s="75"/>
    </row>
    <row r="217" spans="8:8" x14ac:dyDescent="0.25">
      <c r="H217" s="75"/>
    </row>
    <row r="218" spans="8:8" x14ac:dyDescent="0.25">
      <c r="H218" s="75"/>
    </row>
    <row r="219" spans="8:8" x14ac:dyDescent="0.25">
      <c r="H219" s="75"/>
    </row>
    <row r="220" spans="8:8" x14ac:dyDescent="0.25">
      <c r="H220" s="75"/>
    </row>
    <row r="221" spans="8:8" x14ac:dyDescent="0.25">
      <c r="H221" s="75"/>
    </row>
    <row r="222" spans="8:8" x14ac:dyDescent="0.25">
      <c r="H222" s="75"/>
    </row>
    <row r="223" spans="8:8" x14ac:dyDescent="0.25">
      <c r="H223" s="75"/>
    </row>
    <row r="224" spans="8:8" x14ac:dyDescent="0.25">
      <c r="H224" s="75"/>
    </row>
    <row r="225" spans="8:8" x14ac:dyDescent="0.25">
      <c r="H225" s="75"/>
    </row>
    <row r="226" spans="8:8" x14ac:dyDescent="0.25">
      <c r="H226" s="75"/>
    </row>
    <row r="227" spans="8:8" x14ac:dyDescent="0.25">
      <c r="H227" s="75"/>
    </row>
    <row r="228" spans="8:8" x14ac:dyDescent="0.25">
      <c r="H228" s="75"/>
    </row>
    <row r="229" spans="8:8" x14ac:dyDescent="0.25">
      <c r="H229" s="75"/>
    </row>
    <row r="230" spans="8:8" x14ac:dyDescent="0.25">
      <c r="H230" s="75"/>
    </row>
    <row r="231" spans="8:8" x14ac:dyDescent="0.25">
      <c r="H231" s="75"/>
    </row>
    <row r="232" spans="8:8" x14ac:dyDescent="0.25">
      <c r="H232" s="75"/>
    </row>
    <row r="233" spans="8:8" x14ac:dyDescent="0.25">
      <c r="H233" s="75"/>
    </row>
    <row r="234" spans="8:8" x14ac:dyDescent="0.25">
      <c r="H234" s="75"/>
    </row>
    <row r="235" spans="8:8" x14ac:dyDescent="0.25">
      <c r="H235" s="75"/>
    </row>
    <row r="236" spans="8:8" x14ac:dyDescent="0.25">
      <c r="H236" s="75"/>
    </row>
    <row r="237" spans="8:8" x14ac:dyDescent="0.25">
      <c r="H237" s="75"/>
    </row>
    <row r="238" spans="8:8" x14ac:dyDescent="0.25">
      <c r="H238" s="75"/>
    </row>
    <row r="239" spans="8:8" x14ac:dyDescent="0.25">
      <c r="H239" s="75"/>
    </row>
    <row r="240" spans="8:8" x14ac:dyDescent="0.25">
      <c r="H240" s="75"/>
    </row>
    <row r="241" spans="8:8" x14ac:dyDescent="0.25">
      <c r="H241" s="75"/>
    </row>
    <row r="242" spans="8:8" x14ac:dyDescent="0.25">
      <c r="H242" s="75"/>
    </row>
    <row r="243" spans="8:8" x14ac:dyDescent="0.25">
      <c r="H243" s="75"/>
    </row>
    <row r="244" spans="8:8" x14ac:dyDescent="0.25">
      <c r="H244" s="75"/>
    </row>
    <row r="245" spans="8:8" x14ac:dyDescent="0.25">
      <c r="H245" s="75"/>
    </row>
    <row r="246" spans="8:8" x14ac:dyDescent="0.25">
      <c r="H246" s="75"/>
    </row>
    <row r="247" spans="8:8" x14ac:dyDescent="0.25">
      <c r="H247" s="75"/>
    </row>
    <row r="248" spans="8:8" x14ac:dyDescent="0.25">
      <c r="H248" s="75"/>
    </row>
    <row r="249" spans="8:8" x14ac:dyDescent="0.25">
      <c r="H249" s="75"/>
    </row>
    <row r="250" spans="8:8" x14ac:dyDescent="0.25">
      <c r="H250" s="75"/>
    </row>
    <row r="251" spans="8:8" x14ac:dyDescent="0.25">
      <c r="H251" s="75"/>
    </row>
    <row r="252" spans="8:8" x14ac:dyDescent="0.25">
      <c r="H252" s="75"/>
    </row>
    <row r="253" spans="8:8" x14ac:dyDescent="0.25">
      <c r="H253" s="75"/>
    </row>
    <row r="254" spans="8:8" x14ac:dyDescent="0.25">
      <c r="H254" s="75"/>
    </row>
    <row r="255" spans="8:8" x14ac:dyDescent="0.25">
      <c r="H255" s="75"/>
    </row>
    <row r="256" spans="8:8" x14ac:dyDescent="0.25">
      <c r="H256" s="75"/>
    </row>
    <row r="257" spans="8:8" x14ac:dyDescent="0.25">
      <c r="H257" s="75"/>
    </row>
    <row r="258" spans="8:8" x14ac:dyDescent="0.25">
      <c r="H258" s="75"/>
    </row>
    <row r="259" spans="8:8" x14ac:dyDescent="0.25">
      <c r="H259" s="75"/>
    </row>
    <row r="260" spans="8:8" x14ac:dyDescent="0.25">
      <c r="H260" s="75"/>
    </row>
    <row r="261" spans="8:8" x14ac:dyDescent="0.25">
      <c r="H261" s="75"/>
    </row>
    <row r="262" spans="8:8" x14ac:dyDescent="0.25">
      <c r="H262" s="75"/>
    </row>
    <row r="263" spans="8:8" x14ac:dyDescent="0.25">
      <c r="H263" s="75"/>
    </row>
    <row r="264" spans="8:8" x14ac:dyDescent="0.25">
      <c r="H264" s="75"/>
    </row>
    <row r="265" spans="8:8" x14ac:dyDescent="0.25">
      <c r="H265" s="75"/>
    </row>
    <row r="266" spans="8:8" x14ac:dyDescent="0.25">
      <c r="H266" s="75"/>
    </row>
    <row r="267" spans="8:8" x14ac:dyDescent="0.25">
      <c r="H267" s="75"/>
    </row>
    <row r="268" spans="8:8" x14ac:dyDescent="0.25">
      <c r="H268" s="75"/>
    </row>
    <row r="269" spans="8:8" x14ac:dyDescent="0.25">
      <c r="H269" s="75"/>
    </row>
    <row r="270" spans="8:8" x14ac:dyDescent="0.25">
      <c r="H270" s="75"/>
    </row>
    <row r="271" spans="8:8" x14ac:dyDescent="0.25">
      <c r="H271" s="75"/>
    </row>
    <row r="272" spans="8:8" x14ac:dyDescent="0.25">
      <c r="H272" s="75"/>
    </row>
    <row r="273" spans="8:8" x14ac:dyDescent="0.25">
      <c r="H273" s="75"/>
    </row>
    <row r="274" spans="8:8" x14ac:dyDescent="0.25">
      <c r="H274" s="75"/>
    </row>
    <row r="275" spans="8:8" x14ac:dyDescent="0.25">
      <c r="H275" s="75"/>
    </row>
    <row r="276" spans="8:8" x14ac:dyDescent="0.25">
      <c r="H276" s="75"/>
    </row>
    <row r="277" spans="8:8" x14ac:dyDescent="0.25">
      <c r="H277" s="75"/>
    </row>
    <row r="278" spans="8:8" x14ac:dyDescent="0.25">
      <c r="H278" s="75"/>
    </row>
    <row r="279" spans="8:8" x14ac:dyDescent="0.25">
      <c r="H279" s="75"/>
    </row>
    <row r="280" spans="8:8" x14ac:dyDescent="0.25">
      <c r="H280" s="75"/>
    </row>
    <row r="281" spans="8:8" x14ac:dyDescent="0.25">
      <c r="H281" s="75"/>
    </row>
    <row r="282" spans="8:8" x14ac:dyDescent="0.25">
      <c r="H282" s="75"/>
    </row>
    <row r="283" spans="8:8" x14ac:dyDescent="0.25">
      <c r="H283" s="75"/>
    </row>
    <row r="284" spans="8:8" x14ac:dyDescent="0.25">
      <c r="H284" s="75"/>
    </row>
    <row r="285" spans="8:8" x14ac:dyDescent="0.25">
      <c r="H285" s="75"/>
    </row>
    <row r="286" spans="8:8" x14ac:dyDescent="0.25">
      <c r="H286" s="75"/>
    </row>
    <row r="287" spans="8:8" x14ac:dyDescent="0.25">
      <c r="H287" s="75"/>
    </row>
    <row r="288" spans="8:8" x14ac:dyDescent="0.25">
      <c r="H288" s="75"/>
    </row>
    <row r="289" spans="8:8" x14ac:dyDescent="0.25">
      <c r="H289" s="75"/>
    </row>
    <row r="290" spans="8:8" x14ac:dyDescent="0.25">
      <c r="H290" s="75"/>
    </row>
    <row r="291" spans="8:8" x14ac:dyDescent="0.25">
      <c r="H291" s="75"/>
    </row>
    <row r="292" spans="8:8" x14ac:dyDescent="0.25">
      <c r="H292" s="75"/>
    </row>
    <row r="293" spans="8:8" x14ac:dyDescent="0.25">
      <c r="H293" s="75"/>
    </row>
    <row r="294" spans="8:8" x14ac:dyDescent="0.25">
      <c r="H294" s="75"/>
    </row>
    <row r="295" spans="8:8" x14ac:dyDescent="0.25">
      <c r="H295" s="75"/>
    </row>
    <row r="296" spans="8:8" x14ac:dyDescent="0.25">
      <c r="H296" s="75"/>
    </row>
    <row r="297" spans="8:8" x14ac:dyDescent="0.25">
      <c r="H297" s="75"/>
    </row>
    <row r="298" spans="8:8" x14ac:dyDescent="0.25">
      <c r="H298" s="75"/>
    </row>
    <row r="299" spans="8:8" x14ac:dyDescent="0.25">
      <c r="H299" s="75"/>
    </row>
    <row r="300" spans="8:8" x14ac:dyDescent="0.25">
      <c r="H300" s="75"/>
    </row>
    <row r="301" spans="8:8" x14ac:dyDescent="0.25">
      <c r="H301" s="75"/>
    </row>
    <row r="302" spans="8:8" x14ac:dyDescent="0.25">
      <c r="H302" s="75"/>
    </row>
    <row r="303" spans="8:8" x14ac:dyDescent="0.25">
      <c r="H303" s="75"/>
    </row>
    <row r="304" spans="8:8" x14ac:dyDescent="0.25">
      <c r="H304" s="75"/>
    </row>
    <row r="305" spans="8:8" x14ac:dyDescent="0.25">
      <c r="H305" s="75"/>
    </row>
    <row r="306" spans="8:8" x14ac:dyDescent="0.25">
      <c r="H306" s="75"/>
    </row>
    <row r="307" spans="8:8" x14ac:dyDescent="0.25">
      <c r="H307" s="75"/>
    </row>
    <row r="308" spans="8:8" x14ac:dyDescent="0.25">
      <c r="H308" s="75"/>
    </row>
    <row r="309" spans="8:8" x14ac:dyDescent="0.25">
      <c r="H309" s="75"/>
    </row>
    <row r="310" spans="8:8" x14ac:dyDescent="0.25">
      <c r="H310" s="75"/>
    </row>
    <row r="311" spans="8:8" x14ac:dyDescent="0.25">
      <c r="H311" s="75"/>
    </row>
    <row r="312" spans="8:8" x14ac:dyDescent="0.25">
      <c r="H312" s="75"/>
    </row>
    <row r="313" spans="8:8" x14ac:dyDescent="0.25">
      <c r="H313" s="75"/>
    </row>
    <row r="314" spans="8:8" x14ac:dyDescent="0.25">
      <c r="H314" s="75"/>
    </row>
    <row r="315" spans="8:8" x14ac:dyDescent="0.25">
      <c r="H315" s="75"/>
    </row>
    <row r="316" spans="8:8" x14ac:dyDescent="0.25">
      <c r="H316" s="75"/>
    </row>
    <row r="317" spans="8:8" x14ac:dyDescent="0.25">
      <c r="H317" s="75"/>
    </row>
    <row r="318" spans="8:8" x14ac:dyDescent="0.25">
      <c r="H318" s="75"/>
    </row>
    <row r="319" spans="8:8" x14ac:dyDescent="0.25">
      <c r="H319" s="75"/>
    </row>
    <row r="320" spans="8:8" x14ac:dyDescent="0.25">
      <c r="H320" s="75"/>
    </row>
    <row r="321" spans="8:8" x14ac:dyDescent="0.25">
      <c r="H321" s="75"/>
    </row>
    <row r="322" spans="8:8" x14ac:dyDescent="0.25">
      <c r="H322" s="75"/>
    </row>
    <row r="323" spans="8:8" x14ac:dyDescent="0.25">
      <c r="H323" s="75"/>
    </row>
    <row r="324" spans="8:8" x14ac:dyDescent="0.25">
      <c r="H324" s="75"/>
    </row>
    <row r="325" spans="8:8" x14ac:dyDescent="0.25">
      <c r="H325" s="75"/>
    </row>
    <row r="326" spans="8:8" x14ac:dyDescent="0.25">
      <c r="H326" s="75"/>
    </row>
    <row r="327" spans="8:8" x14ac:dyDescent="0.25">
      <c r="H327" s="75"/>
    </row>
    <row r="328" spans="8:8" x14ac:dyDescent="0.25">
      <c r="H328" s="75"/>
    </row>
    <row r="329" spans="8:8" x14ac:dyDescent="0.25">
      <c r="H329" s="75"/>
    </row>
    <row r="330" spans="8:8" x14ac:dyDescent="0.25">
      <c r="H330" s="75"/>
    </row>
    <row r="331" spans="8:8" x14ac:dyDescent="0.25">
      <c r="H331" s="75"/>
    </row>
    <row r="332" spans="8:8" x14ac:dyDescent="0.25">
      <c r="H332" s="75"/>
    </row>
    <row r="333" spans="8:8" x14ac:dyDescent="0.25">
      <c r="H333" s="75"/>
    </row>
    <row r="334" spans="8:8" x14ac:dyDescent="0.25">
      <c r="H334" s="75"/>
    </row>
    <row r="335" spans="8:8" x14ac:dyDescent="0.25">
      <c r="H335" s="75"/>
    </row>
    <row r="336" spans="8:8" x14ac:dyDescent="0.25">
      <c r="H336" s="75"/>
    </row>
    <row r="337" spans="8:8" x14ac:dyDescent="0.25">
      <c r="H337" s="75"/>
    </row>
    <row r="338" spans="8:8" x14ac:dyDescent="0.25">
      <c r="H338" s="75"/>
    </row>
    <row r="339" spans="8:8" x14ac:dyDescent="0.25">
      <c r="H339" s="75"/>
    </row>
    <row r="340" spans="8:8" x14ac:dyDescent="0.25">
      <c r="H340" s="75"/>
    </row>
    <row r="341" spans="8:8" x14ac:dyDescent="0.25">
      <c r="H341" s="75"/>
    </row>
    <row r="342" spans="8:8" x14ac:dyDescent="0.25">
      <c r="H342" s="75"/>
    </row>
    <row r="343" spans="8:8" x14ac:dyDescent="0.25">
      <c r="H343" s="75"/>
    </row>
    <row r="344" spans="8:8" x14ac:dyDescent="0.25">
      <c r="H344" s="75"/>
    </row>
    <row r="345" spans="8:8" x14ac:dyDescent="0.25">
      <c r="H345" s="75"/>
    </row>
    <row r="346" spans="8:8" x14ac:dyDescent="0.25">
      <c r="H346" s="75"/>
    </row>
    <row r="347" spans="8:8" x14ac:dyDescent="0.25">
      <c r="H347" s="75"/>
    </row>
    <row r="348" spans="8:8" x14ac:dyDescent="0.25">
      <c r="H348" s="75"/>
    </row>
    <row r="349" spans="8:8" x14ac:dyDescent="0.25">
      <c r="H349" s="75"/>
    </row>
    <row r="350" spans="8:8" x14ac:dyDescent="0.25">
      <c r="H350" s="75"/>
    </row>
    <row r="351" spans="8:8" x14ac:dyDescent="0.25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B59:B60"/>
    <mergeCell ref="A62:H62"/>
    <mergeCell ref="E64:E65"/>
    <mergeCell ref="E67:E68"/>
    <mergeCell ref="E70:E71"/>
    <mergeCell ref="E73:E74"/>
    <mergeCell ref="A48:G48"/>
    <mergeCell ref="D50:G50"/>
    <mergeCell ref="D51:E51"/>
    <mergeCell ref="A53:G53"/>
    <mergeCell ref="C55:G55"/>
    <mergeCell ref="A57:H57"/>
    <mergeCell ref="K40:K41"/>
    <mergeCell ref="L40:L41"/>
    <mergeCell ref="I43:I44"/>
    <mergeCell ref="J43:J44"/>
    <mergeCell ref="L43:L44"/>
    <mergeCell ref="A46:H46"/>
    <mergeCell ref="A21:H21"/>
    <mergeCell ref="A33:B33"/>
    <mergeCell ref="A34:B34"/>
    <mergeCell ref="A35:B35"/>
    <mergeCell ref="A39:H39"/>
    <mergeCell ref="I40:I41"/>
    <mergeCell ref="A2:H2"/>
    <mergeCell ref="A3:C3"/>
    <mergeCell ref="A4:C4"/>
    <mergeCell ref="A15:C15"/>
    <mergeCell ref="D15:F15"/>
    <mergeCell ref="G15:H15"/>
  </mergeCells>
  <conditionalFormatting sqref="A137">
    <cfRule type="containsText" dxfId="41" priority="3" operator="containsText" text="SECCION PARCIALMENTE EFECTIVA">
      <formula>NOT(ISERROR(SEARCH("SECCION PARCIALMENTE EFECTIVA",A137)))</formula>
    </cfRule>
    <cfRule type="containsText" dxfId="40" priority="4" operator="containsText" text="SECCION TOTALMENTE EFECTIVA">
      <formula>NOT(ISERROR(SEARCH("SECCION TOTALMENTE EFECTIVA",A137)))</formula>
    </cfRule>
  </conditionalFormatting>
  <conditionalFormatting sqref="C55 H55">
    <cfRule type="containsText" dxfId="39" priority="13" operator="containsText" text="Ver reglamento">
      <formula>NOT(ISERROR(SEARCH("Ver reglamento",C55)))</formula>
    </cfRule>
    <cfRule type="containsText" dxfId="38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7" priority="15" operator="containsText" text="200 &lt; h/t &lt; 260 - Se requiere rigidizadores de apoyo">
      <formula>NOT(ISERROR(SEARCH("200 &lt; h/t &lt; 260 - Se requiere rigidizadores de apoyo",C55)))</formula>
    </cfRule>
    <cfRule type="containsText" dxfId="36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5" priority="17" operator="containsText" text="VER REGLAMENTO">
      <formula>NOT(ISERROR(SEARCH("VER REGLAMENTO",D51)))</formula>
    </cfRule>
    <cfRule type="containsText" dxfId="34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3" priority="19" operator="containsText" text="&gt; 60 - Elemento NO rigidizado">
      <formula>NOT(ISERROR(SEARCH("&gt; 60 - Elemento NO rigidizado",D50)))</formula>
    </cfRule>
    <cfRule type="containsText" dxfId="32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1" priority="11" operator="containsText" text="Parcialmente efectivo">
      <formula>NOT(ISERROR(SEARCH("Parcialmente efectivo",F102)))</formula>
    </cfRule>
    <cfRule type="containsText" dxfId="30" priority="12" operator="containsText" text="Totalmente efectivo">
      <formula>NOT(ISERROR(SEARCH("Totalmente efectivo",F102)))</formula>
    </cfRule>
  </conditionalFormatting>
  <conditionalFormatting sqref="F116:G116">
    <cfRule type="containsText" dxfId="29" priority="5" operator="containsText" text="Parcialmente efectivo">
      <formula>NOT(ISERROR(SEARCH("Parcialmente efectivo",F116)))</formula>
    </cfRule>
    <cfRule type="containsText" dxfId="28" priority="6" operator="containsText" text="Totalmente efectivo">
      <formula>NOT(ISERROR(SEARCH("Totalmente efectivo",F116)))</formula>
    </cfRule>
  </conditionalFormatting>
  <conditionalFormatting sqref="F135:G135">
    <cfRule type="containsText" dxfId="27" priority="1" operator="containsText" text="Parcialmente efectivo">
      <formula>NOT(ISERROR(SEARCH("Parcialmente efectivo",F135)))</formula>
    </cfRule>
    <cfRule type="containsText" dxfId="26" priority="2" operator="containsText" text="Totalmente efectivo">
      <formula>NOT(ISERROR(SEARCH("Totalmente efectivo",F135)))</formula>
    </cfRule>
  </conditionalFormatting>
  <conditionalFormatting sqref="O121:O122">
    <cfRule type="containsText" dxfId="25" priority="9" operator="containsText" text="NO USAR">
      <formula>NOT(ISERROR(SEARCH("NO USAR",O121)))</formula>
    </cfRule>
    <cfRule type="containsText" dxfId="24" priority="10" operator="containsText" text="USAR">
      <formula>NOT(ISERROR(SEARCH("USAR",O121)))</formula>
    </cfRule>
  </conditionalFormatting>
  <conditionalFormatting sqref="O126:P126">
    <cfRule type="containsText" dxfId="23" priority="7" operator="containsText" text="Parcialmente efectivo">
      <formula>NOT(ISERROR(SEARCH("Parcialmente efectivo",O126)))</formula>
    </cfRule>
    <cfRule type="containsText" dxfId="22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16" zoomScaleNormal="100" workbookViewId="0">
      <selection activeCell="B19" sqref="B19"/>
    </sheetView>
  </sheetViews>
  <sheetFormatPr baseColWidth="10" defaultColWidth="9.109375" defaultRowHeight="13.2" x14ac:dyDescent="0.25"/>
  <cols>
    <col min="1" max="1" width="12.6640625" style="1" customWidth="1"/>
    <col min="2" max="2" width="16.109375" style="1" customWidth="1"/>
    <col min="3" max="3" width="11.44140625" style="1" customWidth="1"/>
    <col min="4" max="4" width="13.33203125" style="1" bestFit="1" customWidth="1"/>
    <col min="5" max="5" width="18.5546875" style="1" customWidth="1"/>
    <col min="6" max="6" width="11.44140625" style="1" bestFit="1" customWidth="1"/>
    <col min="7" max="7" width="16.33203125" style="1" customWidth="1"/>
    <col min="8" max="8" width="19.6640625" style="64" customWidth="1"/>
    <col min="9" max="9" width="12.109375" style="1" bestFit="1" customWidth="1"/>
    <col min="10" max="10" width="9.109375" style="1"/>
    <col min="11" max="11" width="12" style="1" bestFit="1" customWidth="1"/>
    <col min="12" max="12" width="11.44140625" style="1" bestFit="1" customWidth="1"/>
    <col min="13" max="13" width="16.6640625" style="1" bestFit="1" customWidth="1"/>
    <col min="14" max="14" width="13.33203125" style="1" customWidth="1"/>
    <col min="15" max="15" width="9.109375" style="1"/>
    <col min="16" max="17" width="11.5546875" style="1" bestFit="1" customWidth="1"/>
    <col min="18" max="25" width="9.109375" style="1"/>
    <col min="26" max="26" width="13.33203125" style="1" customWidth="1"/>
    <col min="27" max="29" width="9.109375" style="1"/>
    <col min="30" max="30" width="12.88671875" style="1" customWidth="1"/>
    <col min="31" max="16384" width="9.109375" style="1"/>
  </cols>
  <sheetData>
    <row r="1" spans="1:30" x14ac:dyDescent="0.25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3.8" x14ac:dyDescent="0.25">
      <c r="A2" s="104" t="s">
        <v>168</v>
      </c>
      <c r="B2" s="104"/>
      <c r="C2" s="104"/>
      <c r="D2" s="104"/>
      <c r="E2" s="104"/>
      <c r="F2" s="104"/>
      <c r="G2" s="104"/>
      <c r="H2" s="104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5">
      <c r="A3" s="105"/>
      <c r="B3" s="105"/>
      <c r="C3" s="105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5">
      <c r="A4" s="106"/>
      <c r="B4" s="106"/>
      <c r="C4" s="106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5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5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5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5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5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5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5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5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5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8" thickBot="1" x14ac:dyDescent="0.3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3">
      <c r="A15" s="107" t="s">
        <v>16</v>
      </c>
      <c r="B15" s="108"/>
      <c r="C15" s="108"/>
      <c r="D15" s="109" t="s">
        <v>148</v>
      </c>
      <c r="E15" s="109"/>
      <c r="F15" s="109"/>
      <c r="G15" s="110"/>
      <c r="H15" s="111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5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5">
      <c r="A17" s="20" t="s">
        <v>78</v>
      </c>
      <c r="B17" s="99">
        <v>100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5">
      <c r="A18" s="20" t="s">
        <v>79</v>
      </c>
      <c r="B18" s="99">
        <v>100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5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5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5">
      <c r="A21" s="112" t="s">
        <v>1</v>
      </c>
      <c r="B21" s="112"/>
      <c r="C21" s="112"/>
      <c r="D21" s="112"/>
      <c r="E21" s="112"/>
      <c r="F21" s="112"/>
      <c r="G21" s="112"/>
      <c r="H21" s="11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5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5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5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5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5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5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5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5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5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5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5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5">
      <c r="A33" s="113" t="s">
        <v>20</v>
      </c>
      <c r="B33" s="113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5">
      <c r="A34" s="113" t="s">
        <v>21</v>
      </c>
      <c r="B34" s="113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5">
      <c r="A35" s="113" t="s">
        <v>22</v>
      </c>
      <c r="B35" s="113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5">
      <c r="A36" s="98"/>
      <c r="B36" s="98"/>
      <c r="C36" s="12"/>
      <c r="D36" s="7"/>
      <c r="E36" s="97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5">
      <c r="A37" s="98"/>
      <c r="B37" s="98"/>
      <c r="C37" s="12"/>
      <c r="D37" s="7"/>
      <c r="E37" s="97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5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5">
      <c r="A39" s="114" t="s">
        <v>72</v>
      </c>
      <c r="B39" s="115"/>
      <c r="C39" s="115"/>
      <c r="D39" s="115"/>
      <c r="E39" s="115"/>
      <c r="F39" s="115"/>
      <c r="G39" s="115"/>
      <c r="H39" s="11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5">
      <c r="A40" s="2"/>
      <c r="B40" s="2"/>
      <c r="C40" s="2"/>
      <c r="D40" s="2"/>
      <c r="E40" s="2"/>
      <c r="F40" s="7"/>
      <c r="G40" s="2"/>
      <c r="H40" s="60"/>
      <c r="I40" s="119" t="s">
        <v>81</v>
      </c>
      <c r="J40" s="35">
        <f>F34*(((3*F33^2*F34)+(B19*F35*(6*F33^2-8*F35^2))))</f>
        <v>29565.096140799997</v>
      </c>
      <c r="K40" s="117">
        <f>+ROUND(J40/J41,2)</f>
        <v>2.82</v>
      </c>
      <c r="L40" s="118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5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19"/>
      <c r="J41" s="33">
        <f>+(F33^3+(6*F33^2*F34)+B19*F35*(8*F35^2-12*F33*F35+6*F33^2))</f>
        <v>10498.029055999999</v>
      </c>
      <c r="K41" s="117"/>
      <c r="L41" s="118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5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5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19" t="s">
        <v>92</v>
      </c>
      <c r="J43" s="120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19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5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19"/>
      <c r="J44" s="120"/>
      <c r="K44" s="33">
        <f>6*F33^2*F34+(F33+2*B19*F35)^3-24*B19*F33*F35^2</f>
        <v>10498.029055999999</v>
      </c>
      <c r="L44" s="119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5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5">
      <c r="A46" s="112" t="s">
        <v>35</v>
      </c>
      <c r="B46" s="112"/>
      <c r="C46" s="112"/>
      <c r="D46" s="112"/>
      <c r="E46" s="112"/>
      <c r="F46" s="112"/>
      <c r="G46" s="112"/>
      <c r="H46" s="11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5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5">
      <c r="A48" s="122" t="s">
        <v>30</v>
      </c>
      <c r="B48" s="122"/>
      <c r="C48" s="122"/>
      <c r="D48" s="122"/>
      <c r="E48" s="122"/>
      <c r="F48" s="122"/>
      <c r="G48" s="122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5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5">
      <c r="A50" s="13" t="s">
        <v>26</v>
      </c>
      <c r="B50" s="14" t="s">
        <v>27</v>
      </c>
      <c r="C50" s="2">
        <f>+$C$34/$D$23</f>
        <v>14.749999999999998</v>
      </c>
      <c r="D50" s="123" t="str">
        <f>+IF($C$50&lt;60,"&lt; 60 - Elemento comp. rigidizado vinculado a ala o alma", " &gt; 60 - Elemento NO rigidizado")</f>
        <v>&lt; 60 - Elemento comp. rigidizado vinculado a ala o alma</v>
      </c>
      <c r="E50" s="123"/>
      <c r="F50" s="123"/>
      <c r="G50" s="123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5">
      <c r="A51" s="13" t="s">
        <v>28</v>
      </c>
      <c r="B51" s="14" t="s">
        <v>31</v>
      </c>
      <c r="C51" s="2">
        <f>+$C$35/$D$23</f>
        <v>4.25</v>
      </c>
      <c r="D51" s="124" t="str">
        <f>+IF($C$51&lt;60,"&lt; 60 - Elemento no rigidizado", "VER REGLAMENTO")</f>
        <v>&lt; 60 - Elemento no rigidizado</v>
      </c>
      <c r="E51" s="124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5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5">
      <c r="A53" s="122" t="s">
        <v>32</v>
      </c>
      <c r="B53" s="122"/>
      <c r="C53" s="122"/>
      <c r="D53" s="122"/>
      <c r="E53" s="122"/>
      <c r="F53" s="122"/>
      <c r="G53" s="122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5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5">
      <c r="A55" s="13" t="s">
        <v>33</v>
      </c>
      <c r="B55" s="99">
        <f>+$C$33/$D$23</f>
        <v>39.75</v>
      </c>
      <c r="C55" s="123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3"/>
      <c r="E55" s="123"/>
      <c r="F55" s="123"/>
      <c r="G55" s="123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5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5">
      <c r="A57" s="125" t="s">
        <v>95</v>
      </c>
      <c r="B57" s="125"/>
      <c r="C57" s="125"/>
      <c r="D57" s="125"/>
      <c r="E57" s="125"/>
      <c r="F57" s="125"/>
      <c r="G57" s="125"/>
      <c r="H57" s="125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5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5">
      <c r="A59" s="2"/>
      <c r="B59" s="126">
        <f>+ROUND((PI()^2*$G$24)/($H$18/$D$29)^2,2)</f>
        <v>1026.1199999999999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5">
      <c r="A60" s="2"/>
      <c r="B60" s="126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5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5">
      <c r="A62" s="112" t="s">
        <v>96</v>
      </c>
      <c r="B62" s="112"/>
      <c r="C62" s="112"/>
      <c r="D62" s="112"/>
      <c r="E62" s="112"/>
      <c r="F62" s="112"/>
      <c r="G62" s="112"/>
      <c r="H62" s="11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5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5">
      <c r="A64" s="2"/>
      <c r="B64" s="2"/>
      <c r="C64" s="2"/>
      <c r="D64" s="2"/>
      <c r="E64" s="126">
        <f>+ROUND((PI()^2*$G$24)/($H$17/$D$28)^2,2)</f>
        <v>6301.25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5">
      <c r="A65" s="2"/>
      <c r="B65" s="2"/>
      <c r="C65" s="2"/>
      <c r="D65" s="2"/>
      <c r="E65" s="126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5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5">
      <c r="A67" s="2"/>
      <c r="B67" s="2"/>
      <c r="C67" s="2"/>
      <c r="D67" s="2"/>
      <c r="E67" s="127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5">
      <c r="A68" s="2"/>
      <c r="B68" s="2"/>
      <c r="C68" s="2"/>
      <c r="D68" s="2"/>
      <c r="E68" s="127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5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5">
      <c r="A70" s="2"/>
      <c r="B70" s="2"/>
      <c r="C70" s="2"/>
      <c r="D70" s="2"/>
      <c r="E70" s="126">
        <f>+ROUND((1/(D25*E67^2)*(G25*B43+((PI()^2*G24*B44)/H19^2))),2)</f>
        <v>2808.49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5">
      <c r="A71" s="2"/>
      <c r="B71" s="2"/>
      <c r="C71" s="2"/>
      <c r="D71" s="2"/>
      <c r="E71" s="126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5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5">
      <c r="A73" s="2"/>
      <c r="B73" s="2"/>
      <c r="C73" s="2"/>
      <c r="D73" s="2"/>
      <c r="E73" s="121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5">
      <c r="A74" s="2"/>
      <c r="B74" s="2"/>
      <c r="C74" s="2"/>
      <c r="D74" s="2"/>
      <c r="E74" s="121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5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5">
      <c r="A76" s="2"/>
      <c r="B76" s="2"/>
      <c r="C76" s="2"/>
      <c r="D76" s="2"/>
      <c r="E76" s="126">
        <f>+ROUND((1/(2*$E$73))*((E64+E70)-((E64+E70)^2-4*E73*E64*E70)^(1/2)),2)</f>
        <v>2286.37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5">
      <c r="A77" s="2"/>
      <c r="B77" s="2"/>
      <c r="C77" s="2"/>
      <c r="D77" s="2"/>
      <c r="E77" s="126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5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5">
      <c r="A79" s="112" t="s">
        <v>97</v>
      </c>
      <c r="B79" s="112"/>
      <c r="C79" s="112"/>
      <c r="D79" s="112"/>
      <c r="E79" s="112"/>
      <c r="F79" s="112"/>
      <c r="G79" s="112"/>
      <c r="H79" s="11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5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5">
      <c r="A81" s="2"/>
      <c r="B81" s="2"/>
      <c r="C81" s="2"/>
      <c r="D81" s="93" t="s">
        <v>94</v>
      </c>
      <c r="E81" s="94">
        <f>+MIN($B$59,$E$76)</f>
        <v>1026.1199999999999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5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5">
      <c r="A83" s="2"/>
      <c r="B83" s="2">
        <f>+ROUND((G23/E81)^(1/2),3)</f>
        <v>0.47899999999999998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5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5">
      <c r="A85" s="2"/>
      <c r="B85" s="2"/>
      <c r="C85" s="2"/>
      <c r="D85" s="93" t="s">
        <v>98</v>
      </c>
      <c r="E85" s="94">
        <f>+ROUND(IF(B83&lt;=1.5,(0.658^(B83^2))*G23,((0.877/(B83^2))*G23)),2)</f>
        <v>213.48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5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5">
      <c r="A87" s="112" t="s">
        <v>99</v>
      </c>
      <c r="B87" s="112"/>
      <c r="C87" s="112"/>
      <c r="D87" s="112"/>
      <c r="E87" s="112"/>
      <c r="F87" s="112"/>
      <c r="G87" s="112"/>
      <c r="H87" s="11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5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5">
      <c r="A89" s="113" t="s">
        <v>93</v>
      </c>
      <c r="B89" s="113"/>
      <c r="C89" s="113"/>
      <c r="D89" s="113"/>
      <c r="E89" s="113"/>
      <c r="F89" s="113"/>
      <c r="G89" s="113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5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5">
      <c r="A91" s="89" t="s">
        <v>100</v>
      </c>
      <c r="B91" s="90">
        <f>+E85</f>
        <v>213.48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5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5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5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5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5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5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5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5">
      <c r="A99" s="2"/>
      <c r="B99" s="2"/>
      <c r="C99" s="2"/>
      <c r="D99" s="21" t="s">
        <v>41</v>
      </c>
      <c r="E99" s="72">
        <f>+ROUND(SQRT($B$91/$E$95),3)</f>
        <v>0.223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5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5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0.06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5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21" t="str">
        <f>+IF(D102="be=b", "Totalmente efectivo", "Parcialmente efectivo")</f>
        <v>Totalmente efectivo</v>
      </c>
      <c r="G102" s="121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5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5">
      <c r="A104" s="113" t="s">
        <v>44</v>
      </c>
      <c r="B104" s="113"/>
      <c r="C104" s="113"/>
      <c r="D104" s="113"/>
      <c r="E104" s="113"/>
      <c r="F104" s="113"/>
      <c r="G104" s="113"/>
      <c r="H104" s="128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5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5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5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5">
      <c r="A108" s="89" t="s">
        <v>100</v>
      </c>
      <c r="B108" s="90">
        <f>+E85</f>
        <v>213.48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5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5">
      <c r="A110" s="2"/>
      <c r="B110" s="2"/>
      <c r="C110" s="21" t="s">
        <v>46</v>
      </c>
      <c r="D110" s="2">
        <f>ROUND(1.28*SQRT($G$24/$B$108),2)</f>
        <v>39.18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5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3.8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12.85</v>
      </c>
      <c r="G112" s="91" t="s">
        <v>48</v>
      </c>
      <c r="H112" s="62" t="s">
        <v>45</v>
      </c>
      <c r="I112" s="129" t="s">
        <v>49</v>
      </c>
      <c r="J112" s="130"/>
      <c r="K112" s="131" t="s">
        <v>64</v>
      </c>
      <c r="L112" s="132"/>
      <c r="M112" s="133" t="s">
        <v>58</v>
      </c>
      <c r="N112" s="134"/>
      <c r="O112" s="134"/>
      <c r="P112" s="134"/>
      <c r="Q112" s="134"/>
      <c r="R112" s="134"/>
      <c r="S112" s="134"/>
      <c r="T112" s="134"/>
      <c r="U112" s="135" t="s">
        <v>60</v>
      </c>
      <c r="V112" s="136"/>
      <c r="W112" s="2"/>
      <c r="X112" s="2"/>
      <c r="Y112" s="2"/>
      <c r="Z112" s="2"/>
      <c r="AA112" s="2"/>
      <c r="AB112" s="2"/>
      <c r="AC112" s="2"/>
      <c r="AD112" s="2"/>
    </row>
    <row r="113" spans="1:30" x14ac:dyDescent="0.25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4.7635089999999999E-4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5">
      <c r="A114" s="2"/>
      <c r="B114" s="2"/>
      <c r="C114" s="2"/>
      <c r="D114" s="137" t="str">
        <f>+IF($D$112&lt;=$F$112,$I$112,$K$112)</f>
        <v>Para b/t &gt; 0.328 S</v>
      </c>
      <c r="E114" s="138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4.7635089999999999E-4</v>
      </c>
      <c r="O114" s="37" t="str">
        <f>+IF($N$114&lt;=$P$114,"&lt;","&gt;")</f>
        <v>&lt;</v>
      </c>
      <c r="P114" s="34">
        <f>+ROUND($D$23^4*((115*$D$112/$D$110)+5),2)</f>
        <v>0.51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6" x14ac:dyDescent="0.35">
      <c r="A115" s="2"/>
      <c r="B115" s="2"/>
      <c r="C115" s="2"/>
      <c r="D115" s="56" t="str">
        <f>+IF($D$112&lt;=$F$112,I113,K113)</f>
        <v>Ia</v>
      </c>
      <c r="E115" s="43">
        <f>+IF($D$112&lt;=$F$112,J113,L113)</f>
        <v>4.7635089999999999E-4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4.7635089999999999E-4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6" x14ac:dyDescent="0.35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21" t="str">
        <f>+IF($D$112&lt;=$F$112,"Totalmente efectivo",IF($N$125&lt;=0.673,"Totalmente efectivo","Parcialmente efectivo"))</f>
        <v>Totalmente efectivo</v>
      </c>
      <c r="G116" s="121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6" x14ac:dyDescent="0.35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6" x14ac:dyDescent="0.35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5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0.48799999999999999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5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5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5">
      <c r="A122" s="113" t="s">
        <v>102</v>
      </c>
      <c r="B122" s="113"/>
      <c r="C122" s="113"/>
      <c r="D122" s="113"/>
      <c r="E122" s="113"/>
      <c r="F122" s="113"/>
      <c r="G122" s="113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5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5">
      <c r="A124" s="89" t="s">
        <v>100</v>
      </c>
      <c r="B124" s="90">
        <f>+E85</f>
        <v>213.48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5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0.28999999999999998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5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21" t="str">
        <f>+IF(M126="be=b", "Totalmente efectivo", "Parcialmente efectivo")</f>
        <v>Totalmente efectivo</v>
      </c>
      <c r="P126" s="121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5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5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5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5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5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5">
      <c r="A132" s="2"/>
      <c r="B132" s="2"/>
      <c r="C132" s="2"/>
      <c r="D132" s="21" t="s">
        <v>41</v>
      </c>
      <c r="E132" s="72">
        <f>+ROUND(SQRT($B$124/$E$128),3)</f>
        <v>0.68300000000000005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5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5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0.99299999999999999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5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12.63096</v>
      </c>
      <c r="F135" s="121" t="str">
        <f>+IF(D135="be=b", "Totalmente efectivo", "Parcialmente efectivo")</f>
        <v>Parcialmente efectivo</v>
      </c>
      <c r="G135" s="121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5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5">
      <c r="A137" s="137" t="str">
        <f>+IF(AND(D116="be=b",D102="be=b",D135="be=b"),"SECCION TOTALMENTE EFECTIVA","SECCION PARCIALMENTE EFECTIVA")</f>
        <v>SECCION PARCIALMENTE EFECTIVA</v>
      </c>
      <c r="B137" s="139"/>
      <c r="C137" s="139"/>
      <c r="D137" s="139"/>
      <c r="E137" s="139"/>
      <c r="F137" s="139"/>
      <c r="G137" s="139"/>
      <c r="H137" s="138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5">
      <c r="H138" s="60"/>
    </row>
    <row r="139" spans="1:30" x14ac:dyDescent="0.25">
      <c r="A139" s="2"/>
      <c r="B139" s="2"/>
      <c r="C139" s="2"/>
      <c r="D139" s="95" t="s">
        <v>103</v>
      </c>
      <c r="E139" s="96">
        <f>+D25-((C35-E102)+(E116-C34)+(C33-E135))*D23</f>
        <v>8.7415071999999991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5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5">
      <c r="A141" s="112" t="s">
        <v>105</v>
      </c>
      <c r="B141" s="112"/>
      <c r="C141" s="112"/>
      <c r="D141" s="112"/>
      <c r="E141" s="112"/>
      <c r="F141" s="112"/>
      <c r="G141" s="112"/>
      <c r="H141" s="112"/>
      <c r="I141" s="2"/>
      <c r="J141" s="2"/>
      <c r="K141" s="101" t="s">
        <v>173</v>
      </c>
      <c r="L141" s="2"/>
      <c r="M141" s="2"/>
      <c r="N141" s="101" t="s">
        <v>174</v>
      </c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5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59.28</v>
      </c>
      <c r="L142" s="102" t="s">
        <v>172</v>
      </c>
      <c r="M142" s="2"/>
      <c r="N142" s="2">
        <v>59.37</v>
      </c>
      <c r="O142" s="101" t="s">
        <v>170</v>
      </c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5">
      <c r="A143" s="2"/>
      <c r="B143" s="2"/>
      <c r="C143" s="2"/>
      <c r="D143" s="20" t="s">
        <v>104</v>
      </c>
      <c r="E143" s="78">
        <f>0.85*E139*E85*10^-1</f>
        <v>158.62164134975998</v>
      </c>
      <c r="F143" s="2"/>
      <c r="G143" s="2"/>
      <c r="H143" s="60"/>
      <c r="J143" s="101" t="s">
        <v>171</v>
      </c>
      <c r="K143" s="2">
        <v>61.37</v>
      </c>
      <c r="L143" s="101" t="s">
        <v>170</v>
      </c>
      <c r="M143" s="2"/>
      <c r="N143" s="103">
        <v>63.87</v>
      </c>
      <c r="O143" s="102" t="s">
        <v>172</v>
      </c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5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5">
      <c r="H145" s="77"/>
    </row>
    <row r="146" spans="8:8" s="2" customFormat="1" x14ac:dyDescent="0.25">
      <c r="H146" s="77"/>
    </row>
    <row r="147" spans="8:8" s="2" customFormat="1" x14ac:dyDescent="0.25">
      <c r="H147" s="77"/>
    </row>
    <row r="148" spans="8:8" s="2" customFormat="1" x14ac:dyDescent="0.25">
      <c r="H148" s="77"/>
    </row>
    <row r="149" spans="8:8" s="2" customFormat="1" x14ac:dyDescent="0.25">
      <c r="H149" s="77"/>
    </row>
    <row r="150" spans="8:8" s="2" customFormat="1" x14ac:dyDescent="0.25">
      <c r="H150" s="77"/>
    </row>
    <row r="151" spans="8:8" s="2" customFormat="1" x14ac:dyDescent="0.25">
      <c r="H151" s="77"/>
    </row>
    <row r="152" spans="8:8" s="2" customFormat="1" x14ac:dyDescent="0.25">
      <c r="H152" s="77"/>
    </row>
    <row r="153" spans="8:8" s="2" customFormat="1" x14ac:dyDescent="0.25">
      <c r="H153" s="77"/>
    </row>
    <row r="154" spans="8:8" s="2" customFormat="1" x14ac:dyDescent="0.25">
      <c r="H154" s="77"/>
    </row>
    <row r="155" spans="8:8" s="2" customFormat="1" x14ac:dyDescent="0.25">
      <c r="H155" s="77"/>
    </row>
    <row r="156" spans="8:8" s="2" customFormat="1" x14ac:dyDescent="0.25">
      <c r="H156" s="77"/>
    </row>
    <row r="157" spans="8:8" s="2" customFormat="1" x14ac:dyDescent="0.25">
      <c r="H157" s="77"/>
    </row>
    <row r="158" spans="8:8" s="2" customFormat="1" x14ac:dyDescent="0.25">
      <c r="H158" s="77"/>
    </row>
    <row r="159" spans="8:8" s="2" customFormat="1" x14ac:dyDescent="0.25">
      <c r="H159" s="77"/>
    </row>
    <row r="160" spans="8:8" s="2" customFormat="1" x14ac:dyDescent="0.25">
      <c r="H160" s="77"/>
    </row>
    <row r="161" spans="8:8" s="2" customFormat="1" x14ac:dyDescent="0.25">
      <c r="H161" s="77"/>
    </row>
    <row r="162" spans="8:8" s="2" customFormat="1" x14ac:dyDescent="0.25">
      <c r="H162" s="77"/>
    </row>
    <row r="163" spans="8:8" s="2" customFormat="1" x14ac:dyDescent="0.25">
      <c r="H163" s="77"/>
    </row>
    <row r="164" spans="8:8" s="2" customFormat="1" x14ac:dyDescent="0.25">
      <c r="H164" s="77"/>
    </row>
    <row r="165" spans="8:8" s="2" customFormat="1" x14ac:dyDescent="0.25">
      <c r="H165" s="77"/>
    </row>
    <row r="166" spans="8:8" s="2" customFormat="1" x14ac:dyDescent="0.25">
      <c r="H166" s="77"/>
    </row>
    <row r="167" spans="8:8" s="2" customFormat="1" x14ac:dyDescent="0.25">
      <c r="H167" s="77"/>
    </row>
    <row r="168" spans="8:8" s="2" customFormat="1" x14ac:dyDescent="0.25">
      <c r="H168" s="77"/>
    </row>
    <row r="169" spans="8:8" s="2" customFormat="1" x14ac:dyDescent="0.25">
      <c r="H169" s="77"/>
    </row>
    <row r="170" spans="8:8" s="2" customFormat="1" x14ac:dyDescent="0.25">
      <c r="H170" s="77"/>
    </row>
    <row r="171" spans="8:8" s="2" customFormat="1" x14ac:dyDescent="0.25">
      <c r="H171" s="77"/>
    </row>
    <row r="172" spans="8:8" s="2" customFormat="1" x14ac:dyDescent="0.25">
      <c r="H172" s="77"/>
    </row>
    <row r="173" spans="8:8" s="2" customFormat="1" x14ac:dyDescent="0.25">
      <c r="H173" s="77"/>
    </row>
    <row r="174" spans="8:8" s="2" customFormat="1" x14ac:dyDescent="0.25">
      <c r="H174" s="77"/>
    </row>
    <row r="175" spans="8:8" s="2" customFormat="1" x14ac:dyDescent="0.25">
      <c r="H175" s="77"/>
    </row>
    <row r="176" spans="8:8" s="2" customFormat="1" x14ac:dyDescent="0.25">
      <c r="H176" s="77"/>
    </row>
    <row r="177" spans="8:8" s="2" customFormat="1" x14ac:dyDescent="0.25">
      <c r="H177" s="77"/>
    </row>
    <row r="178" spans="8:8" s="2" customFormat="1" x14ac:dyDescent="0.25">
      <c r="H178" s="77"/>
    </row>
    <row r="179" spans="8:8" s="2" customFormat="1" x14ac:dyDescent="0.25">
      <c r="H179" s="77"/>
    </row>
    <row r="180" spans="8:8" s="2" customFormat="1" x14ac:dyDescent="0.25">
      <c r="H180" s="77"/>
    </row>
    <row r="181" spans="8:8" s="2" customFormat="1" x14ac:dyDescent="0.25">
      <c r="H181" s="77"/>
    </row>
    <row r="182" spans="8:8" s="2" customFormat="1" x14ac:dyDescent="0.25">
      <c r="H182" s="77"/>
    </row>
    <row r="183" spans="8:8" s="2" customFormat="1" x14ac:dyDescent="0.25">
      <c r="H183" s="77"/>
    </row>
    <row r="184" spans="8:8" s="2" customFormat="1" x14ac:dyDescent="0.25">
      <c r="H184" s="77"/>
    </row>
    <row r="185" spans="8:8" s="2" customFormat="1" x14ac:dyDescent="0.25">
      <c r="H185" s="77"/>
    </row>
    <row r="186" spans="8:8" s="2" customFormat="1" x14ac:dyDescent="0.25">
      <c r="H186" s="77"/>
    </row>
    <row r="187" spans="8:8" s="2" customFormat="1" x14ac:dyDescent="0.25">
      <c r="H187" s="77"/>
    </row>
    <row r="188" spans="8:8" s="2" customFormat="1" x14ac:dyDescent="0.25">
      <c r="H188" s="77"/>
    </row>
    <row r="189" spans="8:8" s="2" customFormat="1" x14ac:dyDescent="0.25">
      <c r="H189" s="77"/>
    </row>
    <row r="190" spans="8:8" x14ac:dyDescent="0.25">
      <c r="H190" s="75"/>
    </row>
    <row r="191" spans="8:8" x14ac:dyDescent="0.25">
      <c r="H191" s="75"/>
    </row>
    <row r="192" spans="8:8" x14ac:dyDescent="0.25">
      <c r="H192" s="75"/>
    </row>
    <row r="193" spans="8:8" x14ac:dyDescent="0.25">
      <c r="H193" s="75"/>
    </row>
    <row r="194" spans="8:8" x14ac:dyDescent="0.25">
      <c r="H194" s="75"/>
    </row>
    <row r="195" spans="8:8" x14ac:dyDescent="0.25">
      <c r="H195" s="75"/>
    </row>
    <row r="196" spans="8:8" x14ac:dyDescent="0.25">
      <c r="H196" s="75"/>
    </row>
    <row r="197" spans="8:8" x14ac:dyDescent="0.25">
      <c r="H197" s="75"/>
    </row>
    <row r="198" spans="8:8" x14ac:dyDescent="0.25">
      <c r="H198" s="75"/>
    </row>
    <row r="199" spans="8:8" x14ac:dyDescent="0.25">
      <c r="H199" s="75"/>
    </row>
    <row r="200" spans="8:8" x14ac:dyDescent="0.25">
      <c r="H200" s="75"/>
    </row>
    <row r="201" spans="8:8" x14ac:dyDescent="0.25">
      <c r="H201" s="75"/>
    </row>
    <row r="202" spans="8:8" x14ac:dyDescent="0.25">
      <c r="H202" s="75"/>
    </row>
    <row r="203" spans="8:8" x14ac:dyDescent="0.25">
      <c r="H203" s="75"/>
    </row>
    <row r="204" spans="8:8" x14ac:dyDescent="0.25">
      <c r="H204" s="75"/>
    </row>
    <row r="205" spans="8:8" x14ac:dyDescent="0.25">
      <c r="H205" s="75"/>
    </row>
    <row r="206" spans="8:8" x14ac:dyDescent="0.25">
      <c r="H206" s="75"/>
    </row>
    <row r="207" spans="8:8" x14ac:dyDescent="0.25">
      <c r="H207" s="75"/>
    </row>
    <row r="208" spans="8:8" x14ac:dyDescent="0.25">
      <c r="H208" s="75"/>
    </row>
    <row r="209" spans="8:8" x14ac:dyDescent="0.25">
      <c r="H209" s="75"/>
    </row>
    <row r="210" spans="8:8" x14ac:dyDescent="0.25">
      <c r="H210" s="75"/>
    </row>
    <row r="211" spans="8:8" x14ac:dyDescent="0.25">
      <c r="H211" s="75"/>
    </row>
    <row r="212" spans="8:8" x14ac:dyDescent="0.25">
      <c r="H212" s="75"/>
    </row>
    <row r="213" spans="8:8" x14ac:dyDescent="0.25">
      <c r="H213" s="75"/>
    </row>
    <row r="214" spans="8:8" x14ac:dyDescent="0.25">
      <c r="H214" s="75"/>
    </row>
    <row r="215" spans="8:8" x14ac:dyDescent="0.25">
      <c r="H215" s="75"/>
    </row>
    <row r="216" spans="8:8" x14ac:dyDescent="0.25">
      <c r="H216" s="75"/>
    </row>
    <row r="217" spans="8:8" x14ac:dyDescent="0.25">
      <c r="H217" s="75"/>
    </row>
    <row r="218" spans="8:8" x14ac:dyDescent="0.25">
      <c r="H218" s="75"/>
    </row>
    <row r="219" spans="8:8" x14ac:dyDescent="0.25">
      <c r="H219" s="75"/>
    </row>
    <row r="220" spans="8:8" x14ac:dyDescent="0.25">
      <c r="H220" s="75"/>
    </row>
    <row r="221" spans="8:8" x14ac:dyDescent="0.25">
      <c r="H221" s="75"/>
    </row>
    <row r="222" spans="8:8" x14ac:dyDescent="0.25">
      <c r="H222" s="75"/>
    </row>
    <row r="223" spans="8:8" x14ac:dyDescent="0.25">
      <c r="H223" s="75"/>
    </row>
    <row r="224" spans="8:8" x14ac:dyDescent="0.25">
      <c r="H224" s="75"/>
    </row>
    <row r="225" spans="8:8" x14ac:dyDescent="0.25">
      <c r="H225" s="75"/>
    </row>
    <row r="226" spans="8:8" x14ac:dyDescent="0.25">
      <c r="H226" s="75"/>
    </row>
    <row r="227" spans="8:8" x14ac:dyDescent="0.25">
      <c r="H227" s="75"/>
    </row>
    <row r="228" spans="8:8" x14ac:dyDescent="0.25">
      <c r="H228" s="75"/>
    </row>
    <row r="229" spans="8:8" x14ac:dyDescent="0.25">
      <c r="H229" s="75"/>
    </row>
    <row r="230" spans="8:8" x14ac:dyDescent="0.25">
      <c r="H230" s="75"/>
    </row>
    <row r="231" spans="8:8" x14ac:dyDescent="0.25">
      <c r="H231" s="75"/>
    </row>
    <row r="232" spans="8:8" x14ac:dyDescent="0.25">
      <c r="H232" s="75"/>
    </row>
    <row r="233" spans="8:8" x14ac:dyDescent="0.25">
      <c r="H233" s="75"/>
    </row>
    <row r="234" spans="8:8" x14ac:dyDescent="0.25">
      <c r="H234" s="75"/>
    </row>
    <row r="235" spans="8:8" x14ac:dyDescent="0.25">
      <c r="H235" s="75"/>
    </row>
    <row r="236" spans="8:8" x14ac:dyDescent="0.25">
      <c r="H236" s="75"/>
    </row>
    <row r="237" spans="8:8" x14ac:dyDescent="0.25">
      <c r="H237" s="75"/>
    </row>
    <row r="238" spans="8:8" x14ac:dyDescent="0.25">
      <c r="H238" s="75"/>
    </row>
    <row r="239" spans="8:8" x14ac:dyDescent="0.25">
      <c r="H239" s="75"/>
    </row>
    <row r="240" spans="8:8" x14ac:dyDescent="0.25">
      <c r="H240" s="75"/>
    </row>
    <row r="241" spans="8:8" x14ac:dyDescent="0.25">
      <c r="H241" s="75"/>
    </row>
    <row r="242" spans="8:8" x14ac:dyDescent="0.25">
      <c r="H242" s="75"/>
    </row>
    <row r="243" spans="8:8" x14ac:dyDescent="0.25">
      <c r="H243" s="75"/>
    </row>
    <row r="244" spans="8:8" x14ac:dyDescent="0.25">
      <c r="H244" s="75"/>
    </row>
    <row r="245" spans="8:8" x14ac:dyDescent="0.25">
      <c r="H245" s="75"/>
    </row>
    <row r="246" spans="8:8" x14ac:dyDescent="0.25">
      <c r="H246" s="75"/>
    </row>
    <row r="247" spans="8:8" x14ac:dyDescent="0.25">
      <c r="H247" s="75"/>
    </row>
    <row r="248" spans="8:8" x14ac:dyDescent="0.25">
      <c r="H248" s="75"/>
    </row>
    <row r="249" spans="8:8" x14ac:dyDescent="0.25">
      <c r="H249" s="75"/>
    </row>
    <row r="250" spans="8:8" x14ac:dyDescent="0.25">
      <c r="H250" s="75"/>
    </row>
    <row r="251" spans="8:8" x14ac:dyDescent="0.25">
      <c r="H251" s="75"/>
    </row>
    <row r="252" spans="8:8" x14ac:dyDescent="0.25">
      <c r="H252" s="75"/>
    </row>
    <row r="253" spans="8:8" x14ac:dyDescent="0.25">
      <c r="H253" s="75"/>
    </row>
    <row r="254" spans="8:8" x14ac:dyDescent="0.25">
      <c r="H254" s="75"/>
    </row>
    <row r="255" spans="8:8" x14ac:dyDescent="0.25">
      <c r="H255" s="75"/>
    </row>
    <row r="256" spans="8:8" x14ac:dyDescent="0.25">
      <c r="H256" s="75"/>
    </row>
    <row r="257" spans="8:8" x14ac:dyDescent="0.25">
      <c r="H257" s="75"/>
    </row>
    <row r="258" spans="8:8" x14ac:dyDescent="0.25">
      <c r="H258" s="75"/>
    </row>
    <row r="259" spans="8:8" x14ac:dyDescent="0.25">
      <c r="H259" s="75"/>
    </row>
    <row r="260" spans="8:8" x14ac:dyDescent="0.25">
      <c r="H260" s="75"/>
    </row>
    <row r="261" spans="8:8" x14ac:dyDescent="0.25">
      <c r="H261" s="75"/>
    </row>
    <row r="262" spans="8:8" x14ac:dyDescent="0.25">
      <c r="H262" s="75"/>
    </row>
    <row r="263" spans="8:8" x14ac:dyDescent="0.25">
      <c r="H263" s="75"/>
    </row>
    <row r="264" spans="8:8" x14ac:dyDescent="0.25">
      <c r="H264" s="75"/>
    </row>
    <row r="265" spans="8:8" x14ac:dyDescent="0.25">
      <c r="H265" s="75"/>
    </row>
    <row r="266" spans="8:8" x14ac:dyDescent="0.25">
      <c r="H266" s="75"/>
    </row>
    <row r="267" spans="8:8" x14ac:dyDescent="0.25">
      <c r="H267" s="75"/>
    </row>
    <row r="268" spans="8:8" x14ac:dyDescent="0.25">
      <c r="H268" s="75"/>
    </row>
    <row r="269" spans="8:8" x14ac:dyDescent="0.25">
      <c r="H269" s="75"/>
    </row>
    <row r="270" spans="8:8" x14ac:dyDescent="0.25">
      <c r="H270" s="75"/>
    </row>
    <row r="271" spans="8:8" x14ac:dyDescent="0.25">
      <c r="H271" s="75"/>
    </row>
    <row r="272" spans="8:8" x14ac:dyDescent="0.25">
      <c r="H272" s="75"/>
    </row>
    <row r="273" spans="8:8" x14ac:dyDescent="0.25">
      <c r="H273" s="75"/>
    </row>
    <row r="274" spans="8:8" x14ac:dyDescent="0.25">
      <c r="H274" s="75"/>
    </row>
    <row r="275" spans="8:8" x14ac:dyDescent="0.25">
      <c r="H275" s="75"/>
    </row>
    <row r="276" spans="8:8" x14ac:dyDescent="0.25">
      <c r="H276" s="75"/>
    </row>
    <row r="277" spans="8:8" x14ac:dyDescent="0.25">
      <c r="H277" s="75"/>
    </row>
    <row r="278" spans="8:8" x14ac:dyDescent="0.25">
      <c r="H278" s="75"/>
    </row>
    <row r="279" spans="8:8" x14ac:dyDescent="0.25">
      <c r="H279" s="75"/>
    </row>
    <row r="280" spans="8:8" x14ac:dyDescent="0.25">
      <c r="H280" s="75"/>
    </row>
    <row r="281" spans="8:8" x14ac:dyDescent="0.25">
      <c r="H281" s="75"/>
    </row>
    <row r="282" spans="8:8" x14ac:dyDescent="0.25">
      <c r="H282" s="75"/>
    </row>
    <row r="283" spans="8:8" x14ac:dyDescent="0.25">
      <c r="H283" s="75"/>
    </row>
    <row r="284" spans="8:8" x14ac:dyDescent="0.25">
      <c r="H284" s="75"/>
    </row>
    <row r="285" spans="8:8" x14ac:dyDescent="0.25">
      <c r="H285" s="75"/>
    </row>
    <row r="286" spans="8:8" x14ac:dyDescent="0.25">
      <c r="H286" s="75"/>
    </row>
    <row r="287" spans="8:8" x14ac:dyDescent="0.25">
      <c r="H287" s="75"/>
    </row>
    <row r="288" spans="8:8" x14ac:dyDescent="0.25">
      <c r="H288" s="75"/>
    </row>
    <row r="289" spans="8:8" x14ac:dyDescent="0.25">
      <c r="H289" s="75"/>
    </row>
    <row r="290" spans="8:8" x14ac:dyDescent="0.25">
      <c r="H290" s="75"/>
    </row>
    <row r="291" spans="8:8" x14ac:dyDescent="0.25">
      <c r="H291" s="75"/>
    </row>
    <row r="292" spans="8:8" x14ac:dyDescent="0.25">
      <c r="H292" s="75"/>
    </row>
    <row r="293" spans="8:8" x14ac:dyDescent="0.25">
      <c r="H293" s="75"/>
    </row>
    <row r="294" spans="8:8" x14ac:dyDescent="0.25">
      <c r="H294" s="75"/>
    </row>
    <row r="295" spans="8:8" x14ac:dyDescent="0.25">
      <c r="H295" s="75"/>
    </row>
    <row r="296" spans="8:8" x14ac:dyDescent="0.25">
      <c r="H296" s="75"/>
    </row>
    <row r="297" spans="8:8" x14ac:dyDescent="0.25">
      <c r="H297" s="75"/>
    </row>
    <row r="298" spans="8:8" x14ac:dyDescent="0.25">
      <c r="H298" s="75"/>
    </row>
    <row r="299" spans="8:8" x14ac:dyDescent="0.25">
      <c r="H299" s="75"/>
    </row>
    <row r="300" spans="8:8" x14ac:dyDescent="0.25">
      <c r="H300" s="75"/>
    </row>
    <row r="301" spans="8:8" x14ac:dyDescent="0.25">
      <c r="H301" s="75"/>
    </row>
    <row r="302" spans="8:8" x14ac:dyDescent="0.25">
      <c r="H302" s="75"/>
    </row>
    <row r="303" spans="8:8" x14ac:dyDescent="0.25">
      <c r="H303" s="75"/>
    </row>
    <row r="304" spans="8:8" x14ac:dyDescent="0.25">
      <c r="H304" s="75"/>
    </row>
    <row r="305" spans="8:8" x14ac:dyDescent="0.25">
      <c r="H305" s="75"/>
    </row>
    <row r="306" spans="8:8" x14ac:dyDescent="0.25">
      <c r="H306" s="75"/>
    </row>
    <row r="307" spans="8:8" x14ac:dyDescent="0.25">
      <c r="H307" s="75"/>
    </row>
    <row r="308" spans="8:8" x14ac:dyDescent="0.25">
      <c r="H308" s="75"/>
    </row>
    <row r="309" spans="8:8" x14ac:dyDescent="0.25">
      <c r="H309" s="75"/>
    </row>
    <row r="310" spans="8:8" x14ac:dyDescent="0.25">
      <c r="H310" s="75"/>
    </row>
    <row r="311" spans="8:8" x14ac:dyDescent="0.25">
      <c r="H311" s="75"/>
    </row>
    <row r="312" spans="8:8" x14ac:dyDescent="0.25">
      <c r="H312" s="75"/>
    </row>
    <row r="313" spans="8:8" x14ac:dyDescent="0.25">
      <c r="H313" s="75"/>
    </row>
    <row r="314" spans="8:8" x14ac:dyDescent="0.25">
      <c r="H314" s="75"/>
    </row>
    <row r="315" spans="8:8" x14ac:dyDescent="0.25">
      <c r="H315" s="75"/>
    </row>
    <row r="316" spans="8:8" x14ac:dyDescent="0.25">
      <c r="H316" s="75"/>
    </row>
    <row r="317" spans="8:8" x14ac:dyDescent="0.25">
      <c r="H317" s="75"/>
    </row>
    <row r="318" spans="8:8" x14ac:dyDescent="0.25">
      <c r="H318" s="75"/>
    </row>
    <row r="319" spans="8:8" x14ac:dyDescent="0.25">
      <c r="H319" s="75"/>
    </row>
    <row r="320" spans="8:8" x14ac:dyDescent="0.25">
      <c r="H320" s="75"/>
    </row>
    <row r="321" spans="8:8" x14ac:dyDescent="0.25">
      <c r="H321" s="75"/>
    </row>
    <row r="322" spans="8:8" x14ac:dyDescent="0.25">
      <c r="H322" s="75"/>
    </row>
    <row r="323" spans="8:8" x14ac:dyDescent="0.25">
      <c r="H323" s="75"/>
    </row>
    <row r="324" spans="8:8" x14ac:dyDescent="0.25">
      <c r="H324" s="75"/>
    </row>
    <row r="325" spans="8:8" x14ac:dyDescent="0.25">
      <c r="H325" s="75"/>
    </row>
    <row r="326" spans="8:8" x14ac:dyDescent="0.25">
      <c r="H326" s="75"/>
    </row>
    <row r="327" spans="8:8" x14ac:dyDescent="0.25">
      <c r="H327" s="75"/>
    </row>
    <row r="328" spans="8:8" x14ac:dyDescent="0.25">
      <c r="H328" s="75"/>
    </row>
    <row r="329" spans="8:8" x14ac:dyDescent="0.25">
      <c r="H329" s="75"/>
    </row>
    <row r="330" spans="8:8" x14ac:dyDescent="0.25">
      <c r="H330" s="75"/>
    </row>
    <row r="331" spans="8:8" x14ac:dyDescent="0.25">
      <c r="H331" s="75"/>
    </row>
    <row r="332" spans="8:8" x14ac:dyDescent="0.25">
      <c r="H332" s="75"/>
    </row>
    <row r="333" spans="8:8" x14ac:dyDescent="0.25">
      <c r="H333" s="75"/>
    </row>
    <row r="334" spans="8:8" x14ac:dyDescent="0.25">
      <c r="H334" s="75"/>
    </row>
    <row r="335" spans="8:8" x14ac:dyDescent="0.25">
      <c r="H335" s="75"/>
    </row>
    <row r="336" spans="8:8" x14ac:dyDescent="0.25">
      <c r="H336" s="75"/>
    </row>
    <row r="337" spans="8:8" x14ac:dyDescent="0.25">
      <c r="H337" s="75"/>
    </row>
    <row r="338" spans="8:8" x14ac:dyDescent="0.25">
      <c r="H338" s="75"/>
    </row>
    <row r="339" spans="8:8" x14ac:dyDescent="0.25">
      <c r="H339" s="75"/>
    </row>
    <row r="340" spans="8:8" x14ac:dyDescent="0.25">
      <c r="H340" s="75"/>
    </row>
    <row r="341" spans="8:8" x14ac:dyDescent="0.25">
      <c r="H341" s="75"/>
    </row>
    <row r="342" spans="8:8" x14ac:dyDescent="0.25">
      <c r="H342" s="75"/>
    </row>
    <row r="343" spans="8:8" x14ac:dyDescent="0.25">
      <c r="H343" s="75"/>
    </row>
    <row r="344" spans="8:8" x14ac:dyDescent="0.25">
      <c r="H344" s="75"/>
    </row>
    <row r="345" spans="8:8" x14ac:dyDescent="0.25">
      <c r="H345" s="75"/>
    </row>
    <row r="346" spans="8:8" x14ac:dyDescent="0.25">
      <c r="H346" s="75"/>
    </row>
    <row r="347" spans="8:8" x14ac:dyDescent="0.25">
      <c r="H347" s="75"/>
    </row>
    <row r="348" spans="8:8" x14ac:dyDescent="0.25">
      <c r="H348" s="75"/>
    </row>
    <row r="349" spans="8:8" x14ac:dyDescent="0.25">
      <c r="H349" s="75"/>
    </row>
    <row r="350" spans="8:8" x14ac:dyDescent="0.25">
      <c r="H350" s="75"/>
    </row>
    <row r="351" spans="8:8" x14ac:dyDescent="0.25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21" priority="3" operator="containsText" text="SECCION PARCIALMENTE EFECTIVA">
      <formula>NOT(ISERROR(SEARCH("SECCION PARCIALMENTE EFECTIVA",A137)))</formula>
    </cfRule>
    <cfRule type="containsText" dxfId="20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9" priority="13" operator="containsText" text="Ver reglamento">
      <formula>NOT(ISERROR(SEARCH("Ver reglamento",C55)))</formula>
    </cfRule>
    <cfRule type="containsText" dxfId="18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7" priority="15" operator="containsText" text="200 &lt; h/t &lt; 260 - Se requiere rigidizadores de apoyo">
      <formula>NOT(ISERROR(SEARCH("200 &lt; h/t &lt; 260 - Se requiere rigidizadores de apoyo",C55)))</formula>
    </cfRule>
    <cfRule type="containsText" dxfId="16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5" priority="17" operator="containsText" text="VER REGLAMENTO">
      <formula>NOT(ISERROR(SEARCH("VER REGLAMENTO",D51)))</formula>
    </cfRule>
    <cfRule type="containsText" dxfId="14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3" priority="19" operator="containsText" text="&gt; 60 - Elemento NO rigidizado">
      <formula>NOT(ISERROR(SEARCH("&gt; 60 - Elemento NO rigidizado",D50)))</formula>
    </cfRule>
    <cfRule type="containsText" dxfId="12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11" priority="11" operator="containsText" text="Parcialmente efectivo">
      <formula>NOT(ISERROR(SEARCH("Parcialmente efectivo",F102)))</formula>
    </cfRule>
    <cfRule type="containsText" dxfId="10" priority="12" operator="containsText" text="Totalmente efectivo">
      <formula>NOT(ISERROR(SEARCH("Totalmente efectivo",F102)))</formula>
    </cfRule>
  </conditionalFormatting>
  <conditionalFormatting sqref="F116:G116">
    <cfRule type="containsText" dxfId="9" priority="5" operator="containsText" text="Parcialmente efectivo">
      <formula>NOT(ISERROR(SEARCH("Parcialmente efectivo",F116)))</formula>
    </cfRule>
    <cfRule type="containsText" dxfId="8" priority="6" operator="containsText" text="Totalmente efectivo">
      <formula>NOT(ISERROR(SEARCH("Totalmente efectivo",F116)))</formula>
    </cfRule>
  </conditionalFormatting>
  <conditionalFormatting sqref="F135:G135">
    <cfRule type="containsText" dxfId="7" priority="1" operator="containsText" text="Parcialmente efectivo">
      <formula>NOT(ISERROR(SEARCH("Parcialmente efectivo",F135)))</formula>
    </cfRule>
    <cfRule type="containsText" dxfId="6" priority="2" operator="containsText" text="Totalmente efectivo">
      <formula>NOT(ISERROR(SEARCH("Totalmente efectivo",F135)))</formula>
    </cfRule>
  </conditionalFormatting>
  <conditionalFormatting sqref="O121:O122">
    <cfRule type="containsText" dxfId="5" priority="9" operator="containsText" text="NO USAR">
      <formula>NOT(ISERROR(SEARCH("NO USAR",O121)))</formula>
    </cfRule>
    <cfRule type="containsText" dxfId="4" priority="10" operator="containsText" text="USAR">
      <formula>NOT(ISERROR(SEARCH("USAR",O121)))</formula>
    </cfRule>
  </conditionalFormatting>
  <conditionalFormatting sqref="O126:P126">
    <cfRule type="containsText" dxfId="3" priority="7" operator="containsText" text="Parcialmente efectivo">
      <formula>NOT(ISERROR(SEARCH("Parcialmente efectivo",O126)))</formula>
    </cfRule>
    <cfRule type="containsText" dxfId="2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K32"/>
  <sheetViews>
    <sheetView tabSelected="1" workbookViewId="0">
      <selection activeCell="F25" sqref="F25"/>
    </sheetView>
  </sheetViews>
  <sheetFormatPr baseColWidth="10" defaultRowHeight="14.4" x14ac:dyDescent="0.3"/>
  <sheetData>
    <row r="1" spans="1:11" x14ac:dyDescent="0.3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248</v>
      </c>
      <c r="I1" t="s">
        <v>245</v>
      </c>
      <c r="J1" t="s">
        <v>224</v>
      </c>
    </row>
    <row r="2" spans="1:11" x14ac:dyDescent="0.3">
      <c r="A2">
        <v>26</v>
      </c>
      <c r="B2" t="s">
        <v>123</v>
      </c>
      <c r="C2" t="s">
        <v>123</v>
      </c>
      <c r="I2" t="s">
        <v>19</v>
      </c>
      <c r="J2">
        <f>VLOOKUP(J1,Angulo!C2:T30,6,FALSE)</f>
        <v>2.37</v>
      </c>
      <c r="K2" t="s">
        <v>211</v>
      </c>
    </row>
    <row r="3" spans="1:11" x14ac:dyDescent="0.3">
      <c r="A3">
        <v>27</v>
      </c>
      <c r="B3">
        <v>0.63</v>
      </c>
      <c r="C3">
        <v>-47.11</v>
      </c>
      <c r="D3">
        <v>50.06</v>
      </c>
      <c r="E3" cm="1">
        <f t="array" ref="E3">ROUND(Pandeo($J$2,$J$3,B3*100)*2,2)</f>
        <v>63.96</v>
      </c>
      <c r="F3">
        <f>ABS(MIN(C3,D3)/E3)</f>
        <v>0.73655409631019386</v>
      </c>
      <c r="I3" t="s">
        <v>246</v>
      </c>
      <c r="J3">
        <f>VLOOKUP(J1,Angulo!C2:T30,18,FALSE)</f>
        <v>0.71</v>
      </c>
      <c r="K3" t="s">
        <v>213</v>
      </c>
    </row>
    <row r="4" spans="1:11" x14ac:dyDescent="0.3">
      <c r="A4">
        <v>28</v>
      </c>
      <c r="B4">
        <v>0.63</v>
      </c>
      <c r="C4">
        <v>-28.15</v>
      </c>
      <c r="D4">
        <v>29.98</v>
      </c>
      <c r="E4" cm="1">
        <f t="array" ref="E4">ROUND(Pandeo($J$2,$J$3,B4*100)*2,2)</f>
        <v>63.96</v>
      </c>
      <c r="F4">
        <f t="shared" ref="F4:F26" si="0">ABS(MIN(C4,D4)/E4)</f>
        <v>0.44011882426516569</v>
      </c>
    </row>
    <row r="5" spans="1:11" x14ac:dyDescent="0.3">
      <c r="A5">
        <v>29</v>
      </c>
      <c r="B5">
        <v>0.63</v>
      </c>
      <c r="C5">
        <v>23.5</v>
      </c>
      <c r="D5">
        <v>-25.07</v>
      </c>
      <c r="E5" cm="1">
        <f t="array" ref="E5">ROUND(Pandeo($J$2,$J$3,B5*100)*2,2)</f>
        <v>63.96</v>
      </c>
      <c r="F5">
        <f t="shared" si="0"/>
        <v>0.39196372732958101</v>
      </c>
    </row>
    <row r="6" spans="1:11" x14ac:dyDescent="0.3">
      <c r="A6">
        <v>30</v>
      </c>
      <c r="B6">
        <v>0.61</v>
      </c>
      <c r="C6">
        <v>-23.88</v>
      </c>
      <c r="D6">
        <v>25.47</v>
      </c>
      <c r="E6" cm="1">
        <f t="array" ref="E6">ROUND(Pandeo($J$2,$J$3,B6*100)*2,2)</f>
        <v>65.540000000000006</v>
      </c>
      <c r="F6">
        <f t="shared" si="0"/>
        <v>0.36435764418675615</v>
      </c>
    </row>
    <row r="7" spans="1:11" x14ac:dyDescent="0.3">
      <c r="A7">
        <v>31</v>
      </c>
      <c r="B7">
        <v>0.61</v>
      </c>
      <c r="C7">
        <v>19.63</v>
      </c>
      <c r="D7">
        <v>-20.99</v>
      </c>
      <c r="E7" cm="1">
        <f t="array" ref="E7">ROUND(Pandeo($J$2,$J$3,B7*100)*2,2)</f>
        <v>65.540000000000006</v>
      </c>
      <c r="F7">
        <f t="shared" si="0"/>
        <v>0.3202624351541043</v>
      </c>
    </row>
    <row r="8" spans="1:11" x14ac:dyDescent="0.3">
      <c r="A8">
        <v>32</v>
      </c>
      <c r="B8">
        <v>1.17</v>
      </c>
      <c r="C8">
        <v>-19.739999999999998</v>
      </c>
      <c r="D8">
        <v>21.11</v>
      </c>
      <c r="E8" cm="1">
        <f t="array" ref="E8">ROUND(Pandeo($J$2,$J$3,B8*100)*2,2)</f>
        <v>25.68</v>
      </c>
      <c r="F8">
        <f t="shared" si="0"/>
        <v>0.76869158878504673</v>
      </c>
    </row>
    <row r="9" spans="1:11" x14ac:dyDescent="0.3">
      <c r="A9">
        <v>33</v>
      </c>
      <c r="B9">
        <v>1.17</v>
      </c>
      <c r="C9">
        <v>15</v>
      </c>
      <c r="D9">
        <v>-16.100000000000001</v>
      </c>
      <c r="E9" cm="1">
        <f t="array" ref="E9">ROUND(Pandeo($J$2,$J$3,B9*100)*2,2)</f>
        <v>25.68</v>
      </c>
      <c r="F9">
        <f t="shared" si="0"/>
        <v>0.62694704049844241</v>
      </c>
    </row>
    <row r="10" spans="1:11" x14ac:dyDescent="0.3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ROUND(Pandeo($J$2,$J$3,B10*100)*2,2)</f>
        <v>28.03</v>
      </c>
      <c r="F10">
        <f t="shared" si="0"/>
        <v>0.54084909026043526</v>
      </c>
    </row>
    <row r="11" spans="1:11" x14ac:dyDescent="0.3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ROUND(Pandeo($J$2,$J$3,B11*100)*2,2)</f>
        <v>28.03</v>
      </c>
      <c r="F11">
        <f t="shared" si="0"/>
        <v>0.39529075990010704</v>
      </c>
    </row>
    <row r="12" spans="1:11" x14ac:dyDescent="0.3">
      <c r="A12">
        <v>36</v>
      </c>
      <c r="B12">
        <v>1.07</v>
      </c>
      <c r="C12">
        <v>-10.35</v>
      </c>
      <c r="D12">
        <v>11.2</v>
      </c>
      <c r="E12" cm="1">
        <f t="array" ref="E12">ROUND(Pandeo($J$2,$J$3,B12*100)*2,2)</f>
        <v>30.71</v>
      </c>
      <c r="F12">
        <f t="shared" si="0"/>
        <v>0.33702377075871048</v>
      </c>
    </row>
    <row r="13" spans="1:11" x14ac:dyDescent="0.3">
      <c r="A13">
        <v>37</v>
      </c>
      <c r="B13">
        <v>1.07</v>
      </c>
      <c r="C13">
        <v>5.12</v>
      </c>
      <c r="D13">
        <v>-5.69</v>
      </c>
      <c r="E13" cm="1">
        <f t="array" ref="E13">ROUND(Pandeo($J$2,$J$3,B13*100)*2,2)</f>
        <v>30.71</v>
      </c>
      <c r="F13">
        <f t="shared" si="0"/>
        <v>0.18528166720937805</v>
      </c>
    </row>
    <row r="14" spans="1:11" x14ac:dyDescent="0.3">
      <c r="A14">
        <v>38</v>
      </c>
      <c r="B14">
        <v>1.03</v>
      </c>
      <c r="C14">
        <v>-5.19</v>
      </c>
      <c r="D14">
        <v>5.76</v>
      </c>
      <c r="E14" cm="1">
        <f t="array" ref="E14">ROUND(Pandeo($J$2,$J$3,B14*100)*2,2)</f>
        <v>33.14</v>
      </c>
      <c r="F14">
        <f t="shared" si="0"/>
        <v>0.15660832830416416</v>
      </c>
    </row>
    <row r="15" spans="1:11" x14ac:dyDescent="0.3">
      <c r="A15">
        <v>39</v>
      </c>
      <c r="B15">
        <v>1.03</v>
      </c>
      <c r="C15">
        <v>-0.37</v>
      </c>
      <c r="D15">
        <v>0.11</v>
      </c>
      <c r="E15" cm="1">
        <f t="array" ref="E15">ROUND(Pandeo($J$2,$J$3,B15*100)*2,2)</f>
        <v>33.14</v>
      </c>
      <c r="F15">
        <f t="shared" si="0"/>
        <v>1.116475558237779E-2</v>
      </c>
    </row>
    <row r="16" spans="1:11" x14ac:dyDescent="0.3">
      <c r="A16">
        <v>40</v>
      </c>
      <c r="B16">
        <v>0.99</v>
      </c>
      <c r="C16">
        <v>0.38</v>
      </c>
      <c r="D16">
        <v>-0.11</v>
      </c>
      <c r="E16" cm="1">
        <f t="array" ref="E16">ROUND(Pandeo($J$2,$J$3,B16*100)*2,2)</f>
        <v>35.869999999999997</v>
      </c>
      <c r="F16">
        <f t="shared" si="0"/>
        <v>3.066629495400056E-3</v>
      </c>
    </row>
    <row r="17" spans="1:6" x14ac:dyDescent="0.3">
      <c r="A17">
        <v>41</v>
      </c>
      <c r="B17">
        <v>0.99</v>
      </c>
      <c r="C17">
        <v>-6.37</v>
      </c>
      <c r="D17">
        <v>6.43</v>
      </c>
      <c r="E17" cm="1">
        <f t="array" ref="E17">ROUND(Pandeo($J$2,$J$3,B17*100)*2,2)</f>
        <v>35.869999999999997</v>
      </c>
      <c r="F17">
        <f t="shared" si="0"/>
        <v>0.17758572623362143</v>
      </c>
    </row>
    <row r="18" spans="1:6" x14ac:dyDescent="0.3">
      <c r="A18">
        <v>42</v>
      </c>
      <c r="B18">
        <v>0.94</v>
      </c>
      <c r="C18">
        <v>6.47</v>
      </c>
      <c r="D18">
        <v>-6.54</v>
      </c>
      <c r="E18" cm="1">
        <f t="array" ref="E18">ROUND(Pandeo($J$2,$J$3,B18*100)*2,2)</f>
        <v>39.53</v>
      </c>
      <c r="F18">
        <f t="shared" si="0"/>
        <v>0.16544396660763977</v>
      </c>
    </row>
    <row r="19" spans="1:6" x14ac:dyDescent="0.3">
      <c r="A19">
        <v>43</v>
      </c>
      <c r="B19">
        <v>0.94</v>
      </c>
      <c r="C19">
        <v>-12.95</v>
      </c>
      <c r="D19">
        <v>13.37</v>
      </c>
      <c r="E19" cm="1">
        <f t="array" ref="E19">ROUND(Pandeo($J$2,$J$3,B19*100)*2,2)</f>
        <v>39.53</v>
      </c>
      <c r="F19">
        <f t="shared" si="0"/>
        <v>0.32759929167720714</v>
      </c>
    </row>
    <row r="20" spans="1:6" x14ac:dyDescent="0.3">
      <c r="A20">
        <v>44</v>
      </c>
      <c r="B20">
        <v>0.9</v>
      </c>
      <c r="C20">
        <v>13.18</v>
      </c>
      <c r="D20">
        <v>-13.61</v>
      </c>
      <c r="E20" cm="1">
        <f t="array" ref="E20">ROUND(Pandeo($J$2,$J$3,B20*100)*2,2)</f>
        <v>42.51</v>
      </c>
      <c r="F20">
        <f t="shared" si="0"/>
        <v>0.32015996236179722</v>
      </c>
    </row>
    <row r="21" spans="1:6" x14ac:dyDescent="0.3">
      <c r="A21">
        <v>45</v>
      </c>
      <c r="B21">
        <v>0.9</v>
      </c>
      <c r="C21">
        <v>-20.39</v>
      </c>
      <c r="D21">
        <v>21.21</v>
      </c>
      <c r="E21" cm="1">
        <f t="array" ref="E21">ROUND(Pandeo($J$2,$J$3,B21*100)*2,2)</f>
        <v>42.51</v>
      </c>
      <c r="F21">
        <f t="shared" si="0"/>
        <v>0.4796518466243237</v>
      </c>
    </row>
    <row r="22" spans="1:6" x14ac:dyDescent="0.3">
      <c r="A22">
        <v>46</v>
      </c>
      <c r="B22">
        <v>0.86</v>
      </c>
      <c r="C22">
        <v>20.91</v>
      </c>
      <c r="D22">
        <v>-21.76</v>
      </c>
      <c r="E22" cm="1">
        <f t="array" ref="E22">ROUND(Pandeo($J$2,$J$3,B22*100)*2,2)</f>
        <v>45.58</v>
      </c>
      <c r="F22">
        <f t="shared" si="0"/>
        <v>0.47740236946028963</v>
      </c>
    </row>
    <row r="23" spans="1:6" x14ac:dyDescent="0.3">
      <c r="A23">
        <v>47</v>
      </c>
      <c r="B23">
        <v>0.86</v>
      </c>
      <c r="C23">
        <v>-28.53</v>
      </c>
      <c r="D23">
        <v>29.79</v>
      </c>
      <c r="E23" cm="1">
        <f t="array" ref="E23">ROUND(Pandeo($J$2,$J$3,B23*100)*2,2)</f>
        <v>45.58</v>
      </c>
      <c r="F23">
        <f t="shared" si="0"/>
        <v>0.62593242650285219</v>
      </c>
    </row>
    <row r="24" spans="1:6" x14ac:dyDescent="0.3">
      <c r="A24">
        <v>48</v>
      </c>
      <c r="B24">
        <v>0.82</v>
      </c>
      <c r="C24">
        <v>29.08</v>
      </c>
      <c r="D24">
        <v>-30.36</v>
      </c>
      <c r="E24" cm="1">
        <f t="array" ref="E24">ROUND(Pandeo($J$2,$J$3,B24*100)*2,2)</f>
        <v>48.71</v>
      </c>
      <c r="F24">
        <f t="shared" si="0"/>
        <v>0.62328064052555943</v>
      </c>
    </row>
    <row r="25" spans="1:6" x14ac:dyDescent="0.3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ROUND(Pandeo($J$2,$J$3,B25*100)*2,2)</f>
        <v>48.71</v>
      </c>
      <c r="F25">
        <f t="shared" si="0"/>
        <v>0.75179634571956466</v>
      </c>
    </row>
    <row r="26" spans="1:6" x14ac:dyDescent="0.3">
      <c r="A26">
        <v>50</v>
      </c>
      <c r="B26">
        <v>0.36</v>
      </c>
      <c r="C26">
        <v>-78.05</v>
      </c>
      <c r="D26">
        <v>85.26</v>
      </c>
      <c r="E26" cm="1">
        <f t="array" ref="E26">ROUND(Pandeo($J$2,$J$3,B26*100)*2,2)</f>
        <v>83.3</v>
      </c>
      <c r="F26">
        <f t="shared" si="0"/>
        <v>0.93697478991596639</v>
      </c>
    </row>
    <row r="27" spans="1:6" x14ac:dyDescent="0.3">
      <c r="A27">
        <v>51</v>
      </c>
      <c r="B27" t="s">
        <v>123</v>
      </c>
    </row>
    <row r="28" spans="1:6" x14ac:dyDescent="0.3">
      <c r="A28">
        <v>52</v>
      </c>
      <c r="B28">
        <v>0.63</v>
      </c>
    </row>
    <row r="29" spans="1:6" x14ac:dyDescent="0.3">
      <c r="A29">
        <v>53</v>
      </c>
      <c r="B29">
        <v>0.63</v>
      </c>
    </row>
    <row r="30" spans="1:6" x14ac:dyDescent="0.3">
      <c r="A30">
        <v>54</v>
      </c>
      <c r="B30">
        <v>0.63</v>
      </c>
    </row>
    <row r="31" spans="1:6" x14ac:dyDescent="0.3">
      <c r="A31">
        <v>55</v>
      </c>
      <c r="B31">
        <v>0.61</v>
      </c>
    </row>
    <row r="32" spans="1:6" x14ac:dyDescent="0.3">
      <c r="A32">
        <v>56</v>
      </c>
      <c r="B32">
        <v>0.36</v>
      </c>
    </row>
  </sheetData>
  <conditionalFormatting sqref="C1:D1048576 E1">
    <cfRule type="cellIs" dxfId="1" priority="2" operator="lessThan">
      <formula>0</formula>
    </cfRule>
  </conditionalFormatting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B7FD78-B778-4B84-960B-7545FAB68F02}">
          <x14:formula1>
            <xm:f>Angulo!$C$2:$C$30</xm:f>
          </x14:formula1>
          <xm:sqref>J1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4"/>
  <sheetViews>
    <sheetView topLeftCell="J1" workbookViewId="0">
      <selection activeCell="C34" sqref="C34:T34"/>
    </sheetView>
  </sheetViews>
  <sheetFormatPr baseColWidth="10" defaultRowHeight="14.4" x14ac:dyDescent="0.3"/>
  <cols>
    <col min="3" max="3" width="10.77734375" bestFit="1" customWidth="1"/>
    <col min="4" max="4" width="7.33203125" bestFit="1" customWidth="1"/>
    <col min="5" max="5" width="9.6640625" bestFit="1" customWidth="1"/>
    <col min="6" max="6" width="18.77734375" bestFit="1" customWidth="1"/>
    <col min="7" max="7" width="10.77734375" bestFit="1" customWidth="1"/>
    <col min="8" max="8" width="17.33203125" bestFit="1" customWidth="1"/>
    <col min="9" max="9" width="35.21875" bestFit="1" customWidth="1"/>
    <col min="10" max="10" width="31.6640625" bestFit="1" customWidth="1"/>
    <col min="11" max="11" width="10.77734375" bestFit="1" customWidth="1"/>
    <col min="12" max="12" width="11.77734375" bestFit="1" customWidth="1"/>
    <col min="13" max="13" width="21.6640625" bestFit="1" customWidth="1"/>
    <col min="14" max="15" width="11.77734375" bestFit="1" customWidth="1"/>
    <col min="16" max="16" width="19.6640625" bestFit="1" customWidth="1"/>
    <col min="17" max="17" width="11.77734375" bestFit="1" customWidth="1"/>
    <col min="18" max="18" width="15" bestFit="1" customWidth="1"/>
    <col min="19" max="20" width="11.77734375" bestFit="1" customWidth="1"/>
  </cols>
  <sheetData>
    <row r="1" spans="1:20" x14ac:dyDescent="0.3">
      <c r="C1" t="s">
        <v>178</v>
      </c>
      <c r="D1" t="s">
        <v>179</v>
      </c>
      <c r="E1" t="s">
        <v>107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</row>
    <row r="2" spans="1:20" x14ac:dyDescent="0.3">
      <c r="A2" t="s">
        <v>216</v>
      </c>
      <c r="C2" t="s">
        <v>216</v>
      </c>
      <c r="D2">
        <v>12.7</v>
      </c>
      <c r="E2">
        <v>3.2</v>
      </c>
      <c r="F2">
        <v>4</v>
      </c>
      <c r="G2">
        <v>2</v>
      </c>
      <c r="H2">
        <v>0.71</v>
      </c>
      <c r="I2">
        <v>0.56000000000000005</v>
      </c>
      <c r="J2">
        <v>0.42</v>
      </c>
      <c r="K2">
        <v>0.95</v>
      </c>
      <c r="L2">
        <v>0.62</v>
      </c>
      <c r="M2">
        <v>0.19</v>
      </c>
      <c r="N2">
        <v>0.08</v>
      </c>
      <c r="O2">
        <v>0.28999999999999998</v>
      </c>
      <c r="P2">
        <v>0.1</v>
      </c>
      <c r="Q2">
        <v>0.08</v>
      </c>
      <c r="R2">
        <v>0.35</v>
      </c>
      <c r="S2">
        <v>0.45</v>
      </c>
      <c r="T2">
        <v>0.24</v>
      </c>
    </row>
    <row r="3" spans="1:20" x14ac:dyDescent="0.3">
      <c r="A3" t="s">
        <v>217</v>
      </c>
      <c r="C3" t="s">
        <v>217</v>
      </c>
      <c r="D3">
        <v>15.9</v>
      </c>
      <c r="E3">
        <v>3.2</v>
      </c>
      <c r="F3">
        <v>4</v>
      </c>
      <c r="G3">
        <v>2</v>
      </c>
      <c r="H3">
        <v>0.94</v>
      </c>
      <c r="I3">
        <v>0.74</v>
      </c>
      <c r="J3">
        <v>0.5</v>
      </c>
      <c r="K3">
        <v>1.1299999999999999</v>
      </c>
      <c r="L3">
        <v>0.71</v>
      </c>
      <c r="M3">
        <v>0.2</v>
      </c>
      <c r="N3">
        <v>0.08</v>
      </c>
      <c r="O3">
        <v>0.31</v>
      </c>
      <c r="P3">
        <v>0.18</v>
      </c>
      <c r="Q3">
        <v>0.12</v>
      </c>
      <c r="R3">
        <v>0.46</v>
      </c>
      <c r="S3">
        <v>0.56999999999999995</v>
      </c>
      <c r="T3">
        <v>0.3</v>
      </c>
    </row>
    <row r="4" spans="1:20" x14ac:dyDescent="0.3">
      <c r="A4" t="s">
        <v>218</v>
      </c>
      <c r="C4" t="s">
        <v>218</v>
      </c>
      <c r="D4">
        <v>19.100000000000001</v>
      </c>
      <c r="E4">
        <v>3.2</v>
      </c>
      <c r="F4">
        <v>4</v>
      </c>
      <c r="G4">
        <v>2</v>
      </c>
      <c r="H4">
        <v>1.1299999999999999</v>
      </c>
      <c r="I4">
        <v>0.89</v>
      </c>
      <c r="J4">
        <v>0.57999999999999996</v>
      </c>
      <c r="K4">
        <v>1.34</v>
      </c>
      <c r="L4">
        <v>0.82</v>
      </c>
      <c r="M4">
        <v>0.35</v>
      </c>
      <c r="N4">
        <v>0.14000000000000001</v>
      </c>
      <c r="O4">
        <v>0.55000000000000004</v>
      </c>
      <c r="P4">
        <v>0.26</v>
      </c>
      <c r="Q4">
        <v>0.18</v>
      </c>
      <c r="R4">
        <v>0.55000000000000004</v>
      </c>
      <c r="S4">
        <v>0.7</v>
      </c>
      <c r="T4">
        <v>0.36</v>
      </c>
    </row>
    <row r="5" spans="1:20" x14ac:dyDescent="0.3">
      <c r="A5" t="s">
        <v>219</v>
      </c>
      <c r="C5" t="s">
        <v>219</v>
      </c>
      <c r="D5">
        <v>22.2</v>
      </c>
      <c r="E5">
        <v>3.2</v>
      </c>
      <c r="F5">
        <v>4</v>
      </c>
      <c r="G5">
        <v>2</v>
      </c>
      <c r="H5">
        <v>1.32</v>
      </c>
      <c r="I5">
        <v>1.04</v>
      </c>
      <c r="J5">
        <v>0.65</v>
      </c>
      <c r="K5">
        <v>1.56</v>
      </c>
      <c r="L5">
        <v>0.92</v>
      </c>
      <c r="M5">
        <v>0.56000000000000005</v>
      </c>
      <c r="N5">
        <v>0.23</v>
      </c>
      <c r="O5">
        <v>0.89</v>
      </c>
      <c r="P5">
        <v>0.36</v>
      </c>
      <c r="Q5">
        <v>0.25</v>
      </c>
      <c r="R5">
        <v>0.65</v>
      </c>
      <c r="S5">
        <v>0.82</v>
      </c>
      <c r="T5">
        <v>0.42</v>
      </c>
    </row>
    <row r="6" spans="1:20" x14ac:dyDescent="0.3">
      <c r="A6" t="s">
        <v>220</v>
      </c>
      <c r="C6" t="s">
        <v>220</v>
      </c>
      <c r="D6">
        <v>25.4</v>
      </c>
      <c r="E6">
        <v>3.2</v>
      </c>
      <c r="F6">
        <v>4</v>
      </c>
      <c r="G6">
        <v>2</v>
      </c>
      <c r="H6">
        <v>1.51</v>
      </c>
      <c r="I6">
        <v>1.19</v>
      </c>
      <c r="J6">
        <v>0.73</v>
      </c>
      <c r="K6">
        <v>1.77</v>
      </c>
      <c r="L6">
        <v>1.03</v>
      </c>
      <c r="M6">
        <v>0.84</v>
      </c>
      <c r="N6">
        <v>0.34</v>
      </c>
      <c r="O6">
        <v>1.34</v>
      </c>
      <c r="P6">
        <v>0.48</v>
      </c>
      <c r="Q6">
        <v>0.34</v>
      </c>
      <c r="R6">
        <v>0.75</v>
      </c>
      <c r="S6">
        <v>0.94</v>
      </c>
      <c r="T6">
        <v>0.48</v>
      </c>
    </row>
    <row r="7" spans="1:20" x14ac:dyDescent="0.3">
      <c r="A7" t="s">
        <v>221</v>
      </c>
      <c r="C7" t="s">
        <v>222</v>
      </c>
      <c r="D7">
        <v>31.8</v>
      </c>
      <c r="E7">
        <v>3.2</v>
      </c>
      <c r="F7">
        <v>5</v>
      </c>
      <c r="G7">
        <v>2.5</v>
      </c>
      <c r="H7">
        <v>1.97</v>
      </c>
      <c r="I7">
        <v>1.55</v>
      </c>
      <c r="J7">
        <v>0.89</v>
      </c>
      <c r="K7">
        <v>2.2599999999999998</v>
      </c>
      <c r="L7">
        <v>1.26</v>
      </c>
      <c r="M7">
        <v>1.83</v>
      </c>
      <c r="N7">
        <v>0.72</v>
      </c>
      <c r="O7">
        <v>2.93</v>
      </c>
      <c r="P7">
        <v>0.79</v>
      </c>
      <c r="Q7">
        <v>0.56999999999999995</v>
      </c>
      <c r="R7">
        <v>0.96</v>
      </c>
      <c r="S7">
        <v>1.22</v>
      </c>
      <c r="T7">
        <v>0.61</v>
      </c>
    </row>
    <row r="8" spans="1:20" x14ac:dyDescent="0.3">
      <c r="A8" t="s">
        <v>222</v>
      </c>
      <c r="C8" t="s">
        <v>221</v>
      </c>
      <c r="D8">
        <v>25.4</v>
      </c>
      <c r="E8">
        <v>4.8</v>
      </c>
      <c r="F8">
        <v>4</v>
      </c>
      <c r="G8">
        <v>2</v>
      </c>
      <c r="H8">
        <v>2.19</v>
      </c>
      <c r="I8">
        <v>1.72</v>
      </c>
      <c r="J8">
        <v>0.79</v>
      </c>
      <c r="K8">
        <v>1.77</v>
      </c>
      <c r="L8">
        <v>1.1100000000000001</v>
      </c>
      <c r="M8">
        <v>1.17</v>
      </c>
      <c r="N8">
        <v>0.5</v>
      </c>
      <c r="O8">
        <v>1.84</v>
      </c>
      <c r="P8">
        <v>0.68</v>
      </c>
      <c r="Q8">
        <v>0.45</v>
      </c>
      <c r="R8">
        <v>0.73</v>
      </c>
      <c r="S8">
        <v>0.92</v>
      </c>
      <c r="T8">
        <v>0.48</v>
      </c>
    </row>
    <row r="9" spans="1:20" x14ac:dyDescent="0.3">
      <c r="A9" t="s">
        <v>223</v>
      </c>
      <c r="C9" t="s">
        <v>224</v>
      </c>
      <c r="D9">
        <v>38.1</v>
      </c>
      <c r="E9">
        <v>3.2</v>
      </c>
      <c r="F9">
        <v>6</v>
      </c>
      <c r="G9">
        <v>3</v>
      </c>
      <c r="H9">
        <v>2.37</v>
      </c>
      <c r="I9">
        <v>1.86</v>
      </c>
      <c r="J9">
        <v>1.03</v>
      </c>
      <c r="K9">
        <v>2.69</v>
      </c>
      <c r="L9">
        <v>1.46</v>
      </c>
      <c r="M9">
        <v>3.11</v>
      </c>
      <c r="N9">
        <v>1.2</v>
      </c>
      <c r="O9">
        <v>5.0199999999999996</v>
      </c>
      <c r="P9">
        <v>1.1200000000000001</v>
      </c>
      <c r="Q9">
        <v>0.82</v>
      </c>
      <c r="R9">
        <v>1.1499999999999999</v>
      </c>
      <c r="S9">
        <v>1.46</v>
      </c>
      <c r="T9">
        <v>0.71</v>
      </c>
    </row>
    <row r="10" spans="1:20" x14ac:dyDescent="0.3">
      <c r="A10" t="s">
        <v>224</v>
      </c>
      <c r="C10" t="s">
        <v>227</v>
      </c>
      <c r="D10">
        <v>44.5</v>
      </c>
      <c r="E10">
        <v>3.2</v>
      </c>
      <c r="F10">
        <v>7</v>
      </c>
      <c r="G10">
        <v>3.5</v>
      </c>
      <c r="H10">
        <v>2.83</v>
      </c>
      <c r="I10">
        <v>2.2200000000000002</v>
      </c>
      <c r="J10">
        <v>1.19</v>
      </c>
      <c r="K10">
        <v>3.18</v>
      </c>
      <c r="L10">
        <v>1.68</v>
      </c>
      <c r="M10">
        <v>5.24</v>
      </c>
      <c r="N10">
        <v>1.98</v>
      </c>
      <c r="O10">
        <v>8.5</v>
      </c>
      <c r="P10">
        <v>1.58</v>
      </c>
      <c r="Q10">
        <v>1.18</v>
      </c>
      <c r="R10">
        <v>1.36</v>
      </c>
      <c r="S10">
        <v>1.73</v>
      </c>
      <c r="T10">
        <v>0.84</v>
      </c>
    </row>
    <row r="11" spans="1:20" x14ac:dyDescent="0.3">
      <c r="A11" t="s">
        <v>225</v>
      </c>
      <c r="C11" t="s">
        <v>223</v>
      </c>
      <c r="D11">
        <v>31.8</v>
      </c>
      <c r="E11">
        <v>4.8</v>
      </c>
      <c r="F11">
        <v>5</v>
      </c>
      <c r="G11">
        <v>2.5</v>
      </c>
      <c r="H11">
        <v>2.87</v>
      </c>
      <c r="I11">
        <v>2.25</v>
      </c>
      <c r="J11">
        <v>0.96</v>
      </c>
      <c r="K11">
        <v>2.2599999999999998</v>
      </c>
      <c r="L11">
        <v>1.35</v>
      </c>
      <c r="M11">
        <v>2.58</v>
      </c>
      <c r="N11">
        <v>1.06</v>
      </c>
      <c r="O11">
        <v>4.0999999999999996</v>
      </c>
      <c r="P11">
        <v>1.1499999999999999</v>
      </c>
      <c r="Q11">
        <v>0.78</v>
      </c>
      <c r="R11">
        <v>0.95</v>
      </c>
      <c r="S11">
        <v>1.2</v>
      </c>
      <c r="T11">
        <v>0.61</v>
      </c>
    </row>
    <row r="12" spans="1:20" x14ac:dyDescent="0.3">
      <c r="A12" t="s">
        <v>226</v>
      </c>
      <c r="C12" t="s">
        <v>230</v>
      </c>
      <c r="D12">
        <v>50.8</v>
      </c>
      <c r="E12">
        <v>3.2</v>
      </c>
      <c r="F12">
        <v>7</v>
      </c>
      <c r="G12">
        <v>3.5</v>
      </c>
      <c r="H12">
        <v>3.21</v>
      </c>
      <c r="I12">
        <v>2.52</v>
      </c>
      <c r="J12">
        <v>1.34</v>
      </c>
      <c r="K12">
        <v>3.16</v>
      </c>
      <c r="L12">
        <v>1.89</v>
      </c>
      <c r="M12">
        <v>7.76</v>
      </c>
      <c r="N12">
        <v>2.95</v>
      </c>
      <c r="O12">
        <v>12.58</v>
      </c>
      <c r="P12">
        <v>2.0699999999999998</v>
      </c>
      <c r="Q12">
        <v>1.56</v>
      </c>
      <c r="R12">
        <v>1.55</v>
      </c>
      <c r="S12">
        <v>1.98</v>
      </c>
      <c r="T12">
        <v>0.96</v>
      </c>
    </row>
    <row r="13" spans="1:20" x14ac:dyDescent="0.3">
      <c r="A13" t="s">
        <v>227</v>
      </c>
      <c r="C13" t="s">
        <v>225</v>
      </c>
      <c r="D13">
        <v>38.1</v>
      </c>
      <c r="E13">
        <v>4.8</v>
      </c>
      <c r="F13">
        <v>6</v>
      </c>
      <c r="G13">
        <v>3</v>
      </c>
      <c r="H13">
        <v>3.46</v>
      </c>
      <c r="I13">
        <v>2.71</v>
      </c>
      <c r="J13">
        <v>1.1000000000000001</v>
      </c>
      <c r="K13">
        <v>2.69</v>
      </c>
      <c r="L13">
        <v>1.56</v>
      </c>
      <c r="M13">
        <v>4.45</v>
      </c>
      <c r="N13">
        <v>1.78</v>
      </c>
      <c r="O13">
        <v>7.12</v>
      </c>
      <c r="P13">
        <v>1.65</v>
      </c>
      <c r="Q13">
        <v>1.1399999999999999</v>
      </c>
      <c r="R13">
        <v>1.1299999999999999</v>
      </c>
      <c r="S13">
        <v>1.44</v>
      </c>
      <c r="T13">
        <v>0.72</v>
      </c>
    </row>
    <row r="14" spans="1:20" x14ac:dyDescent="0.3">
      <c r="A14" t="s">
        <v>228</v>
      </c>
      <c r="C14" t="s">
        <v>228</v>
      </c>
      <c r="D14">
        <v>44.5</v>
      </c>
      <c r="E14">
        <v>4.8</v>
      </c>
      <c r="F14">
        <v>7</v>
      </c>
      <c r="G14">
        <v>3.5</v>
      </c>
      <c r="H14">
        <v>4.1399999999999997</v>
      </c>
      <c r="I14">
        <v>3.25</v>
      </c>
      <c r="J14">
        <v>1.27</v>
      </c>
      <c r="K14">
        <v>3.18</v>
      </c>
      <c r="L14">
        <v>1.79</v>
      </c>
      <c r="M14">
        <v>7.57</v>
      </c>
      <c r="N14">
        <v>2.97</v>
      </c>
      <c r="O14">
        <v>12.17</v>
      </c>
      <c r="P14">
        <v>2.34</v>
      </c>
      <c r="Q14">
        <v>1.66</v>
      </c>
      <c r="R14">
        <v>1.35</v>
      </c>
      <c r="S14">
        <v>1.71</v>
      </c>
      <c r="T14">
        <v>0.85</v>
      </c>
    </row>
    <row r="15" spans="1:20" x14ac:dyDescent="0.3">
      <c r="A15" t="s">
        <v>229</v>
      </c>
      <c r="C15" t="s">
        <v>226</v>
      </c>
      <c r="D15">
        <v>38.1</v>
      </c>
      <c r="E15">
        <v>6.4</v>
      </c>
      <c r="F15">
        <v>6</v>
      </c>
      <c r="G15">
        <v>3</v>
      </c>
      <c r="H15">
        <v>4.49</v>
      </c>
      <c r="I15">
        <v>3.53</v>
      </c>
      <c r="J15">
        <v>1.17</v>
      </c>
      <c r="K15">
        <v>2.69</v>
      </c>
      <c r="L15">
        <v>1.65</v>
      </c>
      <c r="M15">
        <v>5.63</v>
      </c>
      <c r="N15">
        <v>2.33</v>
      </c>
      <c r="O15">
        <v>8.93</v>
      </c>
      <c r="P15">
        <v>2.14</v>
      </c>
      <c r="Q15">
        <v>1.42</v>
      </c>
      <c r="R15">
        <v>1.1200000000000001</v>
      </c>
      <c r="S15">
        <v>1.41</v>
      </c>
      <c r="T15">
        <v>0.72</v>
      </c>
    </row>
    <row r="16" spans="1:20" x14ac:dyDescent="0.3">
      <c r="A16" t="s">
        <v>230</v>
      </c>
      <c r="C16" t="s">
        <v>231</v>
      </c>
      <c r="D16">
        <v>50.8</v>
      </c>
      <c r="E16">
        <v>4.8</v>
      </c>
      <c r="F16">
        <v>7</v>
      </c>
      <c r="G16">
        <v>3.5</v>
      </c>
      <c r="H16">
        <v>4.72</v>
      </c>
      <c r="I16">
        <v>3.7</v>
      </c>
      <c r="J16">
        <v>1.42</v>
      </c>
      <c r="K16">
        <v>3.61</v>
      </c>
      <c r="L16">
        <v>2</v>
      </c>
      <c r="M16">
        <v>11.26</v>
      </c>
      <c r="N16">
        <v>4.41</v>
      </c>
      <c r="O16">
        <v>18.12</v>
      </c>
      <c r="P16">
        <v>3.06</v>
      </c>
      <c r="Q16">
        <v>2.2000000000000002</v>
      </c>
      <c r="R16">
        <v>1.54</v>
      </c>
      <c r="S16">
        <v>1.96</v>
      </c>
      <c r="T16">
        <v>0.97</v>
      </c>
    </row>
    <row r="17" spans="1:20" x14ac:dyDescent="0.3">
      <c r="A17" t="s">
        <v>231</v>
      </c>
      <c r="C17" t="s">
        <v>233</v>
      </c>
      <c r="D17">
        <v>57.2</v>
      </c>
      <c r="E17">
        <v>4.8</v>
      </c>
      <c r="F17">
        <v>8</v>
      </c>
      <c r="G17">
        <v>4</v>
      </c>
      <c r="H17">
        <v>5.31</v>
      </c>
      <c r="I17">
        <v>4.17</v>
      </c>
      <c r="J17">
        <v>1.56</v>
      </c>
      <c r="K17">
        <v>4.03</v>
      </c>
      <c r="L17">
        <v>2.2000000000000002</v>
      </c>
      <c r="M17">
        <v>15.88</v>
      </c>
      <c r="N17">
        <v>6.13</v>
      </c>
      <c r="O17">
        <v>25.64</v>
      </c>
      <c r="P17">
        <v>3.84</v>
      </c>
      <c r="Q17">
        <v>2.79</v>
      </c>
      <c r="R17">
        <v>1.73</v>
      </c>
      <c r="S17">
        <v>2.2000000000000002</v>
      </c>
      <c r="T17">
        <v>1.07</v>
      </c>
    </row>
    <row r="18" spans="1:20" x14ac:dyDescent="0.3">
      <c r="A18" t="s">
        <v>232</v>
      </c>
      <c r="C18" t="s">
        <v>229</v>
      </c>
      <c r="D18">
        <v>44.5</v>
      </c>
      <c r="E18">
        <v>6.4</v>
      </c>
      <c r="F18">
        <v>7</v>
      </c>
      <c r="G18">
        <v>3.5</v>
      </c>
      <c r="H18">
        <v>5.4</v>
      </c>
      <c r="I18">
        <v>4.24</v>
      </c>
      <c r="J18">
        <v>1.34</v>
      </c>
      <c r="K18">
        <v>3.18</v>
      </c>
      <c r="L18">
        <v>1.88</v>
      </c>
      <c r="M18">
        <v>9.67</v>
      </c>
      <c r="N18">
        <v>3.9</v>
      </c>
      <c r="O18">
        <v>15.43</v>
      </c>
      <c r="P18">
        <v>3.06</v>
      </c>
      <c r="Q18">
        <v>2.0699999999999998</v>
      </c>
      <c r="R18">
        <v>1.34</v>
      </c>
      <c r="S18">
        <v>1.69</v>
      </c>
      <c r="T18">
        <v>0.85</v>
      </c>
    </row>
    <row r="19" spans="1:20" x14ac:dyDescent="0.3">
      <c r="A19" t="s">
        <v>233</v>
      </c>
      <c r="C19" t="s">
        <v>235</v>
      </c>
      <c r="D19">
        <v>63.5</v>
      </c>
      <c r="E19">
        <v>4.8</v>
      </c>
      <c r="F19">
        <v>9</v>
      </c>
      <c r="G19">
        <v>4.5</v>
      </c>
      <c r="H19">
        <v>6</v>
      </c>
      <c r="I19">
        <v>4.71</v>
      </c>
      <c r="J19">
        <v>1.72</v>
      </c>
      <c r="K19">
        <v>4.53</v>
      </c>
      <c r="L19">
        <v>2.4300000000000002</v>
      </c>
      <c r="M19">
        <v>22.7</v>
      </c>
      <c r="N19">
        <v>8.65</v>
      </c>
      <c r="O19">
        <v>36.76</v>
      </c>
      <c r="P19">
        <v>4.8499999999999996</v>
      </c>
      <c r="Q19">
        <v>3.56</v>
      </c>
      <c r="R19">
        <v>1.95</v>
      </c>
      <c r="S19">
        <v>2.48</v>
      </c>
      <c r="T19">
        <v>1.2</v>
      </c>
    </row>
    <row r="20" spans="1:20" x14ac:dyDescent="0.3">
      <c r="A20" t="s">
        <v>234</v>
      </c>
      <c r="C20" t="s">
        <v>232</v>
      </c>
      <c r="D20">
        <v>50.8</v>
      </c>
      <c r="E20">
        <v>6.4</v>
      </c>
      <c r="F20">
        <v>7</v>
      </c>
      <c r="G20">
        <v>3.5</v>
      </c>
      <c r="H20">
        <v>6.17</v>
      </c>
      <c r="I20">
        <v>4.84</v>
      </c>
      <c r="J20">
        <v>1.49</v>
      </c>
      <c r="K20">
        <v>3.61</v>
      </c>
      <c r="L20">
        <v>2.1</v>
      </c>
      <c r="M20">
        <v>14.45</v>
      </c>
      <c r="N20">
        <v>5.8</v>
      </c>
      <c r="O20">
        <v>23.1</v>
      </c>
      <c r="P20">
        <v>4</v>
      </c>
      <c r="Q20">
        <v>2.77</v>
      </c>
      <c r="R20">
        <v>1.53</v>
      </c>
      <c r="S20">
        <v>1.93</v>
      </c>
      <c r="T20">
        <v>0.97</v>
      </c>
    </row>
    <row r="21" spans="1:20" x14ac:dyDescent="0.3">
      <c r="A21" t="s">
        <v>235</v>
      </c>
      <c r="C21" t="s">
        <v>234</v>
      </c>
      <c r="D21">
        <v>57.2</v>
      </c>
      <c r="E21">
        <v>6.4</v>
      </c>
      <c r="F21">
        <v>8</v>
      </c>
      <c r="G21">
        <v>4</v>
      </c>
      <c r="H21">
        <v>6.96</v>
      </c>
      <c r="I21">
        <v>5.46</v>
      </c>
      <c r="J21">
        <v>1.63</v>
      </c>
      <c r="K21">
        <v>4.03</v>
      </c>
      <c r="L21">
        <v>2.2999999999999998</v>
      </c>
      <c r="M21">
        <v>20.49</v>
      </c>
      <c r="N21">
        <v>8.1</v>
      </c>
      <c r="O21">
        <v>32.869999999999997</v>
      </c>
      <c r="P21">
        <v>5.03</v>
      </c>
      <c r="Q21">
        <v>3.53</v>
      </c>
      <c r="R21">
        <v>1.72</v>
      </c>
      <c r="S21">
        <v>2.17</v>
      </c>
      <c r="T21">
        <v>1.08</v>
      </c>
    </row>
    <row r="22" spans="1:20" x14ac:dyDescent="0.3">
      <c r="A22" t="s">
        <v>236</v>
      </c>
      <c r="C22" t="s">
        <v>236</v>
      </c>
      <c r="D22">
        <v>63.5</v>
      </c>
      <c r="E22">
        <v>6.4</v>
      </c>
      <c r="F22">
        <v>9</v>
      </c>
      <c r="G22">
        <v>4.5</v>
      </c>
      <c r="H22">
        <v>7.87</v>
      </c>
      <c r="I22">
        <v>6.18</v>
      </c>
      <c r="J22">
        <v>1.8</v>
      </c>
      <c r="K22">
        <v>4.53</v>
      </c>
      <c r="L22">
        <v>2.5299999999999998</v>
      </c>
      <c r="M22">
        <v>29.43</v>
      </c>
      <c r="N22">
        <v>11.49</v>
      </c>
      <c r="O22">
        <v>47.37</v>
      </c>
      <c r="P22">
        <v>6.39</v>
      </c>
      <c r="Q22">
        <v>4.54</v>
      </c>
      <c r="R22">
        <v>1.93</v>
      </c>
      <c r="S22">
        <v>2.4500000000000002</v>
      </c>
      <c r="T22">
        <v>1.21</v>
      </c>
    </row>
    <row r="23" spans="1:20" x14ac:dyDescent="0.3">
      <c r="A23" t="s">
        <v>237</v>
      </c>
      <c r="C23" t="s">
        <v>237</v>
      </c>
      <c r="D23">
        <v>76.2</v>
      </c>
      <c r="E23">
        <v>6.4</v>
      </c>
      <c r="F23">
        <v>10</v>
      </c>
      <c r="G23">
        <v>5</v>
      </c>
      <c r="H23">
        <v>9.43</v>
      </c>
      <c r="I23">
        <v>7.4</v>
      </c>
      <c r="J23">
        <v>2.09</v>
      </c>
      <c r="K23">
        <v>5.37</v>
      </c>
      <c r="L23">
        <v>2.94</v>
      </c>
      <c r="M23">
        <v>50.39</v>
      </c>
      <c r="N23">
        <v>19.47</v>
      </c>
      <c r="O23">
        <v>81.3</v>
      </c>
      <c r="P23">
        <v>9.14</v>
      </c>
      <c r="Q23">
        <v>6.62</v>
      </c>
      <c r="R23">
        <v>2.31</v>
      </c>
      <c r="S23">
        <v>2.94</v>
      </c>
      <c r="T23">
        <v>1.44</v>
      </c>
    </row>
    <row r="24" spans="1:20" x14ac:dyDescent="0.3">
      <c r="A24" t="s">
        <v>238</v>
      </c>
      <c r="C24" t="s">
        <v>238</v>
      </c>
      <c r="D24">
        <v>76.2</v>
      </c>
      <c r="E24">
        <v>7.9</v>
      </c>
      <c r="F24">
        <v>10</v>
      </c>
      <c r="G24">
        <v>5</v>
      </c>
      <c r="H24">
        <v>11.49</v>
      </c>
      <c r="I24">
        <v>9.02</v>
      </c>
      <c r="J24">
        <v>2.15</v>
      </c>
      <c r="K24">
        <v>5.37</v>
      </c>
      <c r="L24">
        <v>3.03</v>
      </c>
      <c r="M24">
        <v>60.74</v>
      </c>
      <c r="N24">
        <v>23.89</v>
      </c>
      <c r="O24">
        <v>97.59</v>
      </c>
      <c r="P24">
        <v>11.15</v>
      </c>
      <c r="Q24">
        <v>7.88</v>
      </c>
      <c r="R24">
        <v>2.2999999999999998</v>
      </c>
      <c r="S24">
        <v>2.91</v>
      </c>
      <c r="T24">
        <v>1.44</v>
      </c>
    </row>
    <row r="25" spans="1:20" x14ac:dyDescent="0.3">
      <c r="A25" t="s">
        <v>239</v>
      </c>
      <c r="C25" t="s">
        <v>240</v>
      </c>
      <c r="D25">
        <v>88.9</v>
      </c>
      <c r="E25">
        <v>7.9</v>
      </c>
      <c r="F25">
        <v>11</v>
      </c>
      <c r="G25">
        <v>5.5</v>
      </c>
      <c r="H25">
        <v>13.57</v>
      </c>
      <c r="I25">
        <v>10.65</v>
      </c>
      <c r="J25">
        <v>2.4700000000000002</v>
      </c>
      <c r="K25">
        <v>6.29</v>
      </c>
      <c r="L25">
        <v>3.48</v>
      </c>
      <c r="M25">
        <v>99.66</v>
      </c>
      <c r="N25">
        <v>38.85</v>
      </c>
      <c r="O25">
        <v>160.47</v>
      </c>
      <c r="P25">
        <v>15.49</v>
      </c>
      <c r="Q25">
        <v>11.17</v>
      </c>
      <c r="R25">
        <v>2.71</v>
      </c>
      <c r="S25">
        <v>3.44</v>
      </c>
      <c r="T25">
        <v>1.69</v>
      </c>
    </row>
    <row r="26" spans="1:20" x14ac:dyDescent="0.3">
      <c r="A26" t="s">
        <v>240</v>
      </c>
      <c r="C26" t="s">
        <v>239</v>
      </c>
      <c r="D26">
        <v>76.2</v>
      </c>
      <c r="E26">
        <v>9.5</v>
      </c>
      <c r="F26">
        <v>10</v>
      </c>
      <c r="G26">
        <v>5</v>
      </c>
      <c r="H26">
        <v>13.64</v>
      </c>
      <c r="I26">
        <v>10.71</v>
      </c>
      <c r="J26">
        <v>2.2200000000000002</v>
      </c>
      <c r="K26">
        <v>5.37</v>
      </c>
      <c r="L26">
        <v>3.12</v>
      </c>
      <c r="M26">
        <v>71.150000000000006</v>
      </c>
      <c r="N26">
        <v>28.47</v>
      </c>
      <c r="O26">
        <v>113.82</v>
      </c>
      <c r="P26">
        <v>13.21</v>
      </c>
      <c r="Q26">
        <v>9.11</v>
      </c>
      <c r="R26">
        <v>2.2799999999999998</v>
      </c>
      <c r="S26">
        <v>2.89</v>
      </c>
      <c r="T26">
        <v>1.44</v>
      </c>
    </row>
    <row r="27" spans="1:20" x14ac:dyDescent="0.3">
      <c r="A27" t="s">
        <v>241</v>
      </c>
      <c r="C27" t="s">
        <v>242</v>
      </c>
      <c r="D27">
        <v>101.6</v>
      </c>
      <c r="E27">
        <v>7.9</v>
      </c>
      <c r="F27">
        <v>12</v>
      </c>
      <c r="G27">
        <v>6</v>
      </c>
      <c r="H27">
        <v>15.65</v>
      </c>
      <c r="I27">
        <v>12.28</v>
      </c>
      <c r="J27">
        <v>2.78</v>
      </c>
      <c r="K27">
        <v>7.21</v>
      </c>
      <c r="L27">
        <v>3.92</v>
      </c>
      <c r="M27">
        <v>152.41</v>
      </c>
      <c r="N27">
        <v>59</v>
      </c>
      <c r="O27">
        <v>245.82</v>
      </c>
      <c r="P27">
        <v>20.54</v>
      </c>
      <c r="Q27">
        <v>15.04</v>
      </c>
      <c r="R27">
        <v>3.12</v>
      </c>
      <c r="S27">
        <v>3.96</v>
      </c>
      <c r="T27">
        <v>1.94</v>
      </c>
    </row>
    <row r="28" spans="1:20" x14ac:dyDescent="0.3">
      <c r="A28" t="s">
        <v>242</v>
      </c>
      <c r="C28" t="s">
        <v>241</v>
      </c>
      <c r="D28">
        <v>88.9</v>
      </c>
      <c r="E28">
        <v>9.5</v>
      </c>
      <c r="F28">
        <v>11</v>
      </c>
      <c r="G28">
        <v>5.5</v>
      </c>
      <c r="H28">
        <v>16.14</v>
      </c>
      <c r="I28">
        <v>12.67</v>
      </c>
      <c r="J28">
        <v>2.5299999999999998</v>
      </c>
      <c r="K28">
        <v>6.29</v>
      </c>
      <c r="L28">
        <v>3.57</v>
      </c>
      <c r="M28">
        <v>117.2</v>
      </c>
      <c r="N28">
        <v>46.37</v>
      </c>
      <c r="O28">
        <v>188.04</v>
      </c>
      <c r="P28">
        <v>18.41</v>
      </c>
      <c r="Q28">
        <v>12.98</v>
      </c>
      <c r="R28">
        <v>2.69</v>
      </c>
      <c r="S28">
        <v>3.41</v>
      </c>
      <c r="T28">
        <v>1.7</v>
      </c>
    </row>
    <row r="29" spans="1:20" x14ac:dyDescent="0.3">
      <c r="A29" t="s">
        <v>243</v>
      </c>
      <c r="C29" t="s">
        <v>243</v>
      </c>
      <c r="D29">
        <v>101.6</v>
      </c>
      <c r="E29">
        <v>9.5</v>
      </c>
      <c r="F29">
        <v>12</v>
      </c>
      <c r="G29">
        <v>6</v>
      </c>
      <c r="H29">
        <v>18.63</v>
      </c>
      <c r="I29">
        <v>14.63</v>
      </c>
      <c r="J29">
        <v>2.85</v>
      </c>
      <c r="K29">
        <v>7.21</v>
      </c>
      <c r="L29">
        <v>4.0199999999999996</v>
      </c>
      <c r="M29">
        <v>179.81</v>
      </c>
      <c r="N29">
        <v>70.56</v>
      </c>
      <c r="O29">
        <v>289.07</v>
      </c>
      <c r="P29">
        <v>24.47</v>
      </c>
      <c r="Q29">
        <v>17.55</v>
      </c>
      <c r="R29">
        <v>3.11</v>
      </c>
      <c r="S29">
        <v>3.94</v>
      </c>
      <c r="T29">
        <v>1.95</v>
      </c>
    </row>
    <row r="30" spans="1:20" x14ac:dyDescent="0.3">
      <c r="A30" t="s">
        <v>244</v>
      </c>
      <c r="C30" t="s">
        <v>244</v>
      </c>
      <c r="D30">
        <v>101.6</v>
      </c>
      <c r="E30">
        <v>12.7</v>
      </c>
      <c r="F30">
        <v>12</v>
      </c>
      <c r="G30">
        <v>6</v>
      </c>
      <c r="H30">
        <v>24.45</v>
      </c>
      <c r="I30">
        <v>19.190000000000001</v>
      </c>
      <c r="J30">
        <v>2.98</v>
      </c>
      <c r="K30">
        <v>7.21</v>
      </c>
      <c r="L30">
        <v>4.2</v>
      </c>
      <c r="M30">
        <v>230.95</v>
      </c>
      <c r="N30">
        <v>92.84</v>
      </c>
      <c r="O30">
        <v>269.07</v>
      </c>
      <c r="P30">
        <v>31.99</v>
      </c>
      <c r="Q30">
        <v>22.09</v>
      </c>
      <c r="R30">
        <v>3.07</v>
      </c>
      <c r="S30">
        <v>3.89</v>
      </c>
      <c r="T30">
        <v>1.95</v>
      </c>
    </row>
    <row r="31" spans="1:20" x14ac:dyDescent="0.3">
      <c r="C31" t="s">
        <v>209</v>
      </c>
      <c r="D31" t="s">
        <v>210</v>
      </c>
      <c r="E31" t="s">
        <v>210</v>
      </c>
      <c r="F31" t="s">
        <v>210</v>
      </c>
      <c r="H31" t="s">
        <v>211</v>
      </c>
      <c r="I31" t="s">
        <v>212</v>
      </c>
      <c r="J31" t="s">
        <v>213</v>
      </c>
      <c r="M31" t="s">
        <v>214</v>
      </c>
      <c r="P31" t="s">
        <v>215</v>
      </c>
      <c r="R31" t="s">
        <v>213</v>
      </c>
    </row>
    <row r="32" spans="1:20" x14ac:dyDescent="0.3">
      <c r="D32" t="s">
        <v>70</v>
      </c>
      <c r="E32" t="s">
        <v>195</v>
      </c>
      <c r="F32" t="s">
        <v>175</v>
      </c>
      <c r="G32" t="s">
        <v>196</v>
      </c>
      <c r="H32" t="s">
        <v>46</v>
      </c>
      <c r="I32" t="s">
        <v>197</v>
      </c>
      <c r="J32" t="s">
        <v>198</v>
      </c>
      <c r="K32" t="s">
        <v>199</v>
      </c>
      <c r="L32" t="s">
        <v>200</v>
      </c>
      <c r="M32" t="s">
        <v>201</v>
      </c>
      <c r="N32" t="s">
        <v>202</v>
      </c>
      <c r="O32" t="s">
        <v>203</v>
      </c>
      <c r="P32" t="s">
        <v>204</v>
      </c>
      <c r="Q32" t="s">
        <v>205</v>
      </c>
      <c r="R32" t="s">
        <v>206</v>
      </c>
      <c r="S32" t="s">
        <v>207</v>
      </c>
      <c r="T32" t="s">
        <v>208</v>
      </c>
    </row>
    <row r="34" spans="3:20" x14ac:dyDescent="0.3"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4.4" x14ac:dyDescent="0.3"/>
  <cols>
    <col min="1" max="1" width="17.33203125" customWidth="1"/>
    <col min="2" max="2" width="12.88671875" bestFit="1" customWidth="1"/>
    <col min="3" max="3" width="11.33203125" bestFit="1" customWidth="1"/>
    <col min="4" max="4" width="15.6640625" bestFit="1" customWidth="1"/>
  </cols>
  <sheetData>
    <row r="1" spans="1:15" ht="17.399999999999999" x14ac:dyDescent="0.3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3">
      <c r="A2" s="140" t="s">
        <v>106</v>
      </c>
      <c r="B2" s="140" t="s">
        <v>163</v>
      </c>
      <c r="C2" s="142" t="s">
        <v>164</v>
      </c>
      <c r="D2" s="142" t="s">
        <v>165</v>
      </c>
      <c r="E2" s="140" t="s">
        <v>107</v>
      </c>
      <c r="F2" s="140" t="s">
        <v>108</v>
      </c>
      <c r="G2" s="140" t="s">
        <v>109</v>
      </c>
      <c r="H2" s="140" t="s">
        <v>110</v>
      </c>
      <c r="I2" s="141" t="s">
        <v>111</v>
      </c>
      <c r="J2" s="141"/>
      <c r="K2" s="141"/>
      <c r="L2" s="141"/>
      <c r="M2" s="141"/>
      <c r="N2" s="141"/>
      <c r="O2" s="141"/>
    </row>
    <row r="3" spans="1:15" x14ac:dyDescent="0.3">
      <c r="A3" s="140"/>
      <c r="B3" s="140"/>
      <c r="C3" s="143"/>
      <c r="D3" s="143"/>
      <c r="E3" s="140"/>
      <c r="F3" s="140"/>
      <c r="G3" s="140"/>
      <c r="H3" s="140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ht="15" x14ac:dyDescent="0.3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3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3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3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3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3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3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3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3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3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3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3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3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3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3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3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3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3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3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3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3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3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3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3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3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3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3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3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3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3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3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3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3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3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3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3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3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3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 Inf</vt:lpstr>
      <vt:lpstr>C Sup</vt:lpstr>
      <vt:lpstr>Diagonales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Andrés Romero</cp:lastModifiedBy>
  <cp:lastPrinted>2023-03-21T17:38:35Z</cp:lastPrinted>
  <dcterms:created xsi:type="dcterms:W3CDTF">2015-06-05T18:17:20Z</dcterms:created>
  <dcterms:modified xsi:type="dcterms:W3CDTF">2023-05-03T01:32:19Z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